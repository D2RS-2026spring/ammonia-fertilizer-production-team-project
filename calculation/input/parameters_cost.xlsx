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4.xml" ContentType="application/vnd.ms-excel.person+xml"/>
  <Override PartName="/xl/persons/person1.xml" ContentType="application/vnd.ms-excel.person+xml"/>
  <Override PartName="/xl/persons/person2.xml" ContentType="application/vnd.ms-excel.person+xml"/>
  <Override PartName="/xl/persons/person3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tonelli/Library/CloudStorage/OneDrive-UCL/MyPhD/Projects/NH3/paper/_rebuttal-NF/scripts/calculation/input/"/>
    </mc:Choice>
  </mc:AlternateContent>
  <xr:revisionPtr revIDLastSave="0" documentId="13_ncr:1_{B0CF9826-0564-DE42-B3F4-902E115E9087}" xr6:coauthVersionLast="47" xr6:coauthVersionMax="47" xr10:uidLastSave="{00000000-0000-0000-0000-000000000000}"/>
  <bookViews>
    <workbookView xWindow="0" yWindow="500" windowWidth="28800" windowHeight="17500" activeTab="3" xr2:uid="{9D85BA13-4B94-6E43-93B2-A2B00FF82054}"/>
  </bookViews>
  <sheets>
    <sheet name="general" sheetId="4" r:id="rId1"/>
    <sheet name="PV" sheetId="1" r:id="rId2"/>
    <sheet name="ENR" sheetId="13" r:id="rId3"/>
    <sheet name="eHB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4" l="1"/>
  <c r="E12" i="14"/>
  <c r="E13" i="14" s="1"/>
  <c r="D14" i="14"/>
  <c r="D12" i="14"/>
  <c r="D13" i="14" s="1"/>
  <c r="C14" i="14"/>
  <c r="C12" i="14"/>
  <c r="C13" i="14" l="1"/>
  <c r="C23" i="14"/>
  <c r="E18" i="14"/>
  <c r="E17" i="14"/>
  <c r="E16" i="14"/>
  <c r="C24" i="14"/>
  <c r="D24" i="14"/>
  <c r="E24" i="14"/>
  <c r="C25" i="14"/>
  <c r="D25" i="14"/>
  <c r="E25" i="14"/>
  <c r="D23" i="14"/>
  <c r="E23" i="14"/>
  <c r="D3" i="1" l="1"/>
  <c r="D4" i="1"/>
  <c r="D5" i="1"/>
  <c r="E3" i="1"/>
  <c r="E4" i="1"/>
  <c r="E5" i="1"/>
  <c r="D2" i="1"/>
  <c r="E2" i="1"/>
</calcChain>
</file>

<file path=xl/sharedStrings.xml><?xml version="1.0" encoding="utf-8"?>
<sst xmlns="http://schemas.openxmlformats.org/spreadsheetml/2006/main" count="446" uniqueCount="74">
  <si>
    <t>parameter</t>
  </si>
  <si>
    <t>year</t>
  </si>
  <si>
    <t>value</t>
  </si>
  <si>
    <t>unit</t>
  </si>
  <si>
    <t>type</t>
  </si>
  <si>
    <t>source</t>
  </si>
  <si>
    <t>notes</t>
  </si>
  <si>
    <t>capex</t>
  </si>
  <si>
    <t>USD/kW</t>
  </si>
  <si>
    <t>distributed-commercial</t>
  </si>
  <si>
    <t>https://atb.nrel.gov/electricity/2021/commercial_pv</t>
  </si>
  <si>
    <t>lifetime</t>
  </si>
  <si>
    <t>years</t>
  </si>
  <si>
    <t>monosilicon</t>
  </si>
  <si>
    <t>degradation_rate</t>
  </si>
  <si>
    <t>-</t>
  </si>
  <si>
    <t>OandM_expenses-fixed</t>
  </si>
  <si>
    <t>USD/kW/year</t>
  </si>
  <si>
    <t xml:space="preserve"> </t>
  </si>
  <si>
    <t>discount_rate</t>
  </si>
  <si>
    <t>nominal discount rate</t>
  </si>
  <si>
    <t>hurdle_rate</t>
  </si>
  <si>
    <t>usd_to_eur</t>
  </si>
  <si>
    <t>MWh/t_NH3</t>
  </si>
  <si>
    <t>https://pubs.rsc.org/en/content/articlehtml/2022/ee/d2ee01023b</t>
  </si>
  <si>
    <t>https://h2foroveralls.shinyapps.io/H2Dash/#section-visualisations</t>
  </si>
  <si>
    <t>PEM</t>
  </si>
  <si>
    <t>EUR/kW_el</t>
  </si>
  <si>
    <t>y</t>
  </si>
  <si>
    <t>EUR/t_NH3</t>
  </si>
  <si>
    <t>V</t>
  </si>
  <si>
    <t>overpotential</t>
  </si>
  <si>
    <t>https://pubs.acs.org/doi/full/10.1021/acssuschemeng.0c01206</t>
  </si>
  <si>
    <t>https://pubs.rsc.org/en/content/articlelanding/2022/ee/d2ee01023b</t>
  </si>
  <si>
    <t>MWh_el/t_NH3</t>
  </si>
  <si>
    <t>LHV NH3</t>
  </si>
  <si>
    <t>LHV H2</t>
  </si>
  <si>
    <t>opt</t>
  </si>
  <si>
    <t>pess</t>
  </si>
  <si>
    <t>https://www.ecb.europa.eu/stats/policy_and_exchange_rates/euro_reference_exchange_rates/html/eurofxref-graph-usd.en.html</t>
  </si>
  <si>
    <t>https://www.iea.org/reports/net-zero-by-2050</t>
  </si>
  <si>
    <t>https://pubs.rsc.org/en/content/articlelanding/2020/ee/d0ee01707h</t>
  </si>
  <si>
    <t>https://pubs.rsc.org/en/content/articlehtml/2020/ee/d0ee01707h</t>
  </si>
  <si>
    <t>https://www.sciencedirect.com/science/article/pii/S0306261919316551?casa_token=bqJkah0fzksAAAAA:uYvdUcTo67BZpOTtVw3YN1TQwsqyRcH0_V5L6G_IKX8lY1i9y-tXnfXHyDCBL4I3ifPfKkOJbqw</t>
  </si>
  <si>
    <t>source scenario variation</t>
  </si>
  <si>
    <t>https://theicct.org/publication/assessment-of-hydrogen-production-costs-from-electrolysis-united-states-and-europe/</t>
  </si>
  <si>
    <t>faradaic efficiency</t>
  </si>
  <si>
    <t>capex electrolyzer</t>
  </si>
  <si>
    <t>efficiency electrolyzer</t>
  </si>
  <si>
    <t>OandM capex fraction</t>
  </si>
  <si>
    <t>ASU capex fraction</t>
  </si>
  <si>
    <t>MWh_el/t_H2</t>
  </si>
  <si>
    <t>storage fraction</t>
  </si>
  <si>
    <t>energy required HB plant</t>
  </si>
  <si>
    <t>https://pubs.rsc.org/en/content/articlelanding/2021/ee/d0ee03808c</t>
  </si>
  <si>
    <t>capex Haber Bosch normal.</t>
  </si>
  <si>
    <t>enthalphy reaction</t>
  </si>
  <si>
    <t>https://pubs.rsc.org/en/content/articlehtml/2023/ee/d2ee02683j</t>
  </si>
  <si>
    <t>https://www.cell.com/chem/pdf/S2451-9294(18)30490-X.pdf</t>
  </si>
  <si>
    <t>https://arpa-e.energy.gov/sites/default/files/documents/files/REFUEL_ProgramOverview.pdf</t>
  </si>
  <si>
    <t>capacity factor</t>
  </si>
  <si>
    <t>fraction derived from the increase in LCOA when including curtailment and storage in 2030 values (most convervative); 
then taking only the fraction associated to OPEX and CAPEX of H2 storage. 
Values not available form paper derived based on interpolation. Data from SI paper.</t>
  </si>
  <si>
    <t>https://www.sciencedirect.com/science/article/pii/S0360319918319931</t>
  </si>
  <si>
    <t>ASU energy consumption</t>
  </si>
  <si>
    <t>as consolidated technology 
there is no learning curve</t>
  </si>
  <si>
    <t>mass ratio</t>
  </si>
  <si>
    <r>
      <t>t</t>
    </r>
    <r>
      <rPr>
        <vertAlign val="subscript"/>
        <sz val="9"/>
        <color theme="1"/>
        <rFont val="Calibri"/>
        <family val="2"/>
        <scheme val="minor"/>
      </rPr>
      <t>NH3</t>
    </r>
    <r>
      <rPr>
        <sz val="9"/>
        <color theme="1"/>
        <rFont val="Calibri"/>
        <family val="2"/>
        <scheme val="minor"/>
      </rPr>
      <t>/ t</t>
    </r>
    <r>
      <rPr>
        <vertAlign val="subscript"/>
        <sz val="9"/>
        <color theme="1"/>
        <rFont val="Calibri"/>
        <family val="2"/>
        <scheme val="minor"/>
      </rPr>
      <t>H2</t>
    </r>
  </si>
  <si>
    <t>theoretical voltage</t>
  </si>
  <si>
    <t>conversion_efficiency</t>
  </si>
  <si>
    <t>panel_to_soil_surf</t>
  </si>
  <si>
    <t>https://www.agrisolarclearinghouse.org/wp-content/uploads/2022/02/Agrivoltaic-Systems-to-Optimise-Land-Use-for-Electric-Energy-Production.pdf</t>
  </si>
  <si>
    <t>agrivoltaic</t>
  </si>
  <si>
    <t>computed as the energy consumption 
minus the stored chemical energy per ton of ammonia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</si>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</sst>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horizontal="left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vertical="center"/>
    </xf>
    <xf numFmtId="0" fontId="2" fillId="0" borderId="0" xfId="1" applyFill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2" fillId="0" borderId="0" xfId="1" applyFill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8" Type="http://schemas.microsoft.com/office/2017/10/relationships/person" Target="persons/person0.xml"/><Relationship Id="rId3" Type="http://schemas.openxmlformats.org/officeDocument/2006/relationships/worksheet" Target="worksheets/sheet3.xml"/><Relationship Id="rId21" Type="http://schemas.microsoft.com/office/2017/10/relationships/person" Target="persons/person4.xml"/><Relationship Id="rId7" Type="http://schemas.openxmlformats.org/officeDocument/2006/relationships/sharedStrings" Target="sharedStrings.xml"/><Relationship Id="rId17" Type="http://schemas.microsoft.com/office/2017/10/relationships/person" Target="persons/person1.xml"/><Relationship Id="rId2" Type="http://schemas.openxmlformats.org/officeDocument/2006/relationships/worksheet" Target="worksheets/sheet2.xml"/><Relationship Id="rId20" Type="http://schemas.microsoft.com/office/2017/10/relationships/person" Target="persons/person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9" Type="http://schemas.microsoft.com/office/2017/10/relationships/person" Target="persons/person3.xml"/><Relationship Id="rId4" Type="http://schemas.openxmlformats.org/officeDocument/2006/relationships/worksheet" Target="worksheets/sheet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rsc.org/en/content/articlehtml/2023/ee/d2ee02683j" TargetMode="External"/><Relationship Id="rId3" Type="http://schemas.openxmlformats.org/officeDocument/2006/relationships/hyperlink" Target="https://atb.nrel.gov/electricity/2021/commercial_pv" TargetMode="External"/><Relationship Id="rId7" Type="http://schemas.openxmlformats.org/officeDocument/2006/relationships/hyperlink" Target="https://www.ecb.europa.eu/stats/policy_and_exchange_rates/euro_reference_exchange_rates/html/eurofxref-graph-usd.en.html" TargetMode="External"/><Relationship Id="rId2" Type="http://schemas.openxmlformats.org/officeDocument/2006/relationships/hyperlink" Target="https://atb.nrel.gov/electricity/2021/commercial_pv" TargetMode="Externa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www.ecb.europa.eu/stats/policy_and_exchange_rates/euro_reference_exchange_rates/html/eurofxref-graph-usd.en.html" TargetMode="External"/><Relationship Id="rId5" Type="http://schemas.openxmlformats.org/officeDocument/2006/relationships/hyperlink" Target="https://www.ecb.europa.eu/stats/policy_and_exchange_rates/euro_reference_exchange_rates/html/eurofxref-graph-usd.en.html" TargetMode="External"/><Relationship Id="rId4" Type="http://schemas.openxmlformats.org/officeDocument/2006/relationships/hyperlink" Target="https://theicct.org/publication/assessment-of-hydrogen-production-costs-from-electrolysis-united-states-and-europ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rsc.org/en/content/articlehtml/2022/ee/d2ee01023b" TargetMode="External"/><Relationship Id="rId13" Type="http://schemas.openxmlformats.org/officeDocument/2006/relationships/hyperlink" Target="https://www.sciencedirect.com/science/article/pii/S0306261919316551?casa_token=bqJkah0fzksAAAAA:uYvdUcTo67BZpOTtVw3YN1TQwsqyRcH0_V5L6G_IKX8lY1i9y-tXnfXHyDCBL4I3ifPfKkOJbqw" TargetMode="External"/><Relationship Id="rId3" Type="http://schemas.openxmlformats.org/officeDocument/2006/relationships/hyperlink" Target="https://atb.nrel.gov/electricity/2021/commercial_pv" TargetMode="External"/><Relationship Id="rId7" Type="http://schemas.openxmlformats.org/officeDocument/2006/relationships/hyperlink" Target="https://pubs.rsc.org/en/content/articlehtml/2022/ee/d2ee01023b" TargetMode="External"/><Relationship Id="rId12" Type="http://schemas.openxmlformats.org/officeDocument/2006/relationships/hyperlink" Target="https://www.sciencedirect.com/science/article/pii/S0306261919316551?casa_token=bqJkah0fzksAAAAA:uYvdUcTo67BZpOTtVw3YN1TQwsqyRcH0_V5L6G_IKX8lY1i9y-tXnfXHyDCBL4I3ifPfKkOJbqw" TargetMode="External"/><Relationship Id="rId2" Type="http://schemas.openxmlformats.org/officeDocument/2006/relationships/hyperlink" Target="https://atb.nrel.gov/electricity/2021/commercial_pv" TargetMode="Externa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pubs.rsc.org/en/content/articlehtml/2022/ee/d2ee01023b" TargetMode="External"/><Relationship Id="rId11" Type="http://schemas.openxmlformats.org/officeDocument/2006/relationships/hyperlink" Target="https://www.sciencedirect.com/science/article/pii/S0306261919316551?casa_token=bqJkah0fzksAAAAA:uYvdUcTo67BZpOTtVw3YN1TQwsqyRcH0_V5L6G_IKX8lY1i9y-tXnfXHyDCBL4I3ifPfKkOJbqw" TargetMode="External"/><Relationship Id="rId5" Type="http://schemas.openxmlformats.org/officeDocument/2006/relationships/hyperlink" Target="https://atb.nrel.gov/electricity/2021/commercial_pv" TargetMode="External"/><Relationship Id="rId10" Type="http://schemas.openxmlformats.org/officeDocument/2006/relationships/hyperlink" Target="https://www.sciencedirect.com/science/article/pii/S0306261919316551?casa_token=bqJkah0fzksAAAAA:uYvdUcTo67BZpOTtVw3YN1TQwsqyRcH0_V5L6G_IKX8lY1i9y-tXnfXHyDCBL4I3ifPfKkOJbqw" TargetMode="External"/><Relationship Id="rId4" Type="http://schemas.openxmlformats.org/officeDocument/2006/relationships/hyperlink" Target="https://atb.nrel.gov/electricity/2021/commercial_pv" TargetMode="External"/><Relationship Id="rId9" Type="http://schemas.openxmlformats.org/officeDocument/2006/relationships/hyperlink" Target="https://pubs.rsc.org/en/content/articlehtml/2022/ee/d2ee01023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rsc.org/en/content/articlehtml/2023/ee/d2ee02683j" TargetMode="External"/><Relationship Id="rId3" Type="http://schemas.openxmlformats.org/officeDocument/2006/relationships/hyperlink" Target="https://h2foroveralls.shinyapps.io/H2Dash/" TargetMode="External"/><Relationship Id="rId7" Type="http://schemas.openxmlformats.org/officeDocument/2006/relationships/hyperlink" Target="https://arpa-e.energy.gov/sites/default/files/documents/files/REFUEL_ProgramOverview.pdf" TargetMode="External"/><Relationship Id="rId2" Type="http://schemas.openxmlformats.org/officeDocument/2006/relationships/hyperlink" Target="https://h2foroveralls.shinyapps.io/H2Dash/" TargetMode="External"/><Relationship Id="rId1" Type="http://schemas.openxmlformats.org/officeDocument/2006/relationships/hyperlink" Target="https://h2foroveralls.shinyapps.io/H2Dash/" TargetMode="External"/><Relationship Id="rId6" Type="http://schemas.openxmlformats.org/officeDocument/2006/relationships/hyperlink" Target="https://pubs.rsc.org/en/content/articlelanding/2022/ee/d2ee01023b" TargetMode="External"/><Relationship Id="rId5" Type="http://schemas.openxmlformats.org/officeDocument/2006/relationships/hyperlink" Target="https://pubs.acs.org/doi/full/10.1021/acssuschemeng.0c01206" TargetMode="External"/><Relationship Id="rId4" Type="http://schemas.openxmlformats.org/officeDocument/2006/relationships/hyperlink" Target="https://h2foroveralls.shinyapps.io/H2Dash/" TargetMode="External"/><Relationship Id="rId9" Type="http://schemas.openxmlformats.org/officeDocument/2006/relationships/hyperlink" Target="https://pubs.rsc.org/en/content/articlehtml/2023/ee/d2ee02683j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rsc.org/en/content/articlehtml/2020/ee/d0ee01707h" TargetMode="External"/><Relationship Id="rId13" Type="http://schemas.openxmlformats.org/officeDocument/2006/relationships/hyperlink" Target="https://pubs.rsc.org/en/content/articlehtml/2023/ee/d2ee02683j" TargetMode="External"/><Relationship Id="rId3" Type="http://schemas.openxmlformats.org/officeDocument/2006/relationships/hyperlink" Target="https://pubs.rsc.org/en/content/articlelanding/2020/ee/d0ee01707h" TargetMode="External"/><Relationship Id="rId7" Type="http://schemas.openxmlformats.org/officeDocument/2006/relationships/hyperlink" Target="https://pubs.rsc.org/en/content/articlehtml/2020/ee/d0ee01707h" TargetMode="External"/><Relationship Id="rId12" Type="http://schemas.openxmlformats.org/officeDocument/2006/relationships/hyperlink" Target="https://pubs.rsc.org/en/content/articlelanding/2022/ee/d2ee01023b" TargetMode="External"/><Relationship Id="rId17" Type="http://schemas.openxmlformats.org/officeDocument/2006/relationships/hyperlink" Target="https://pubs.rsc.org/en/content/articlelanding/2021/ee/d0ee03808c" TargetMode="External"/><Relationship Id="rId2" Type="http://schemas.openxmlformats.org/officeDocument/2006/relationships/hyperlink" Target="https://h2foroveralls.shinyapps.io/H2Dash/" TargetMode="External"/><Relationship Id="rId16" Type="http://schemas.openxmlformats.org/officeDocument/2006/relationships/hyperlink" Target="https://www.sciencedirect.com/science/article/pii/S0360319918319931" TargetMode="External"/><Relationship Id="rId1" Type="http://schemas.openxmlformats.org/officeDocument/2006/relationships/hyperlink" Target="https://h2foroveralls.shinyapps.io/H2Dash/" TargetMode="External"/><Relationship Id="rId6" Type="http://schemas.openxmlformats.org/officeDocument/2006/relationships/hyperlink" Target="https://pubs.rsc.org/en/content/articlehtml/2020/ee/d0ee01707h" TargetMode="External"/><Relationship Id="rId11" Type="http://schemas.openxmlformats.org/officeDocument/2006/relationships/hyperlink" Target="https://h2foroveralls.shinyapps.io/H2Dash/" TargetMode="External"/><Relationship Id="rId5" Type="http://schemas.openxmlformats.org/officeDocument/2006/relationships/hyperlink" Target="https://pubs.rsc.org/en/content/articlelanding/2020/ee/d0ee01707h" TargetMode="External"/><Relationship Id="rId15" Type="http://schemas.openxmlformats.org/officeDocument/2006/relationships/hyperlink" Target="https://pubs.rsc.org/en/content/articlehtml/2023/ee/d2ee02683j" TargetMode="External"/><Relationship Id="rId10" Type="http://schemas.openxmlformats.org/officeDocument/2006/relationships/hyperlink" Target="https://h2foroveralls.shinyapps.io/H2Dash/" TargetMode="External"/><Relationship Id="rId4" Type="http://schemas.openxmlformats.org/officeDocument/2006/relationships/hyperlink" Target="https://pubs.rsc.org/en/content/articlelanding/2020/ee/d0ee01707h" TargetMode="External"/><Relationship Id="rId9" Type="http://schemas.openxmlformats.org/officeDocument/2006/relationships/hyperlink" Target="https://pubs.rsc.org/en/content/articlelanding/2021/ee/d0ee03808c" TargetMode="External"/><Relationship Id="rId14" Type="http://schemas.openxmlformats.org/officeDocument/2006/relationships/hyperlink" Target="https://pubs.rsc.org/en/content/articlehtml/2023/ee/d2ee02683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F398-71B5-384A-B6C2-2AF0C2745F24}">
  <dimension ref="A1:H32"/>
  <sheetViews>
    <sheetView workbookViewId="0">
      <selection activeCell="E20" sqref="E20"/>
    </sheetView>
  </sheetViews>
  <sheetFormatPr baseColWidth="10" defaultColWidth="11" defaultRowHeight="16" x14ac:dyDescent="0.2"/>
  <cols>
    <col min="1" max="1" width="20.83203125" customWidth="1"/>
    <col min="2" max="2" width="12" customWidth="1"/>
    <col min="3" max="3" width="6.1640625" bestFit="1" customWidth="1"/>
    <col min="4" max="4" width="11" style="3"/>
    <col min="5" max="5" width="12" style="3" customWidth="1"/>
    <col min="6" max="6" width="9.83203125" style="16" customWidth="1"/>
    <col min="7" max="7" width="19.1640625" bestFit="1" customWidth="1"/>
    <col min="8" max="8" width="11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5</v>
      </c>
      <c r="G1" s="1" t="s">
        <v>6</v>
      </c>
    </row>
    <row r="2" spans="1:7" x14ac:dyDescent="0.2">
      <c r="A2" s="2" t="s">
        <v>19</v>
      </c>
      <c r="B2" s="2">
        <v>2020</v>
      </c>
      <c r="C2" s="2">
        <v>8.8999999999999996E-2</v>
      </c>
      <c r="D2" s="3">
        <v>0.05</v>
      </c>
      <c r="E2" s="2">
        <v>0.1</v>
      </c>
      <c r="F2" s="14" t="s">
        <v>10</v>
      </c>
      <c r="G2" s="2" t="s">
        <v>20</v>
      </c>
    </row>
    <row r="3" spans="1:7" x14ac:dyDescent="0.2">
      <c r="A3" s="2" t="s">
        <v>19</v>
      </c>
      <c r="B3" s="2">
        <v>2030</v>
      </c>
      <c r="C3" s="2">
        <v>8.8999999999999996E-2</v>
      </c>
      <c r="D3" s="3">
        <v>0.05</v>
      </c>
      <c r="E3" s="2">
        <v>0.1</v>
      </c>
      <c r="F3" s="14" t="s">
        <v>10</v>
      </c>
      <c r="G3" s="2" t="s">
        <v>20</v>
      </c>
    </row>
    <row r="4" spans="1:7" x14ac:dyDescent="0.2">
      <c r="A4" s="2" t="s">
        <v>19</v>
      </c>
      <c r="B4" s="2">
        <v>2040</v>
      </c>
      <c r="C4" s="2">
        <v>8.8999999999999996E-2</v>
      </c>
      <c r="D4" s="3">
        <v>0.05</v>
      </c>
      <c r="E4" s="2">
        <v>0.1</v>
      </c>
      <c r="F4" s="14" t="s">
        <v>10</v>
      </c>
      <c r="G4" s="2" t="s">
        <v>20</v>
      </c>
    </row>
    <row r="5" spans="1:7" x14ac:dyDescent="0.2">
      <c r="A5" s="2" t="s">
        <v>19</v>
      </c>
      <c r="B5" s="2">
        <v>2050</v>
      </c>
      <c r="C5" s="2">
        <v>8.8999999999999996E-2</v>
      </c>
      <c r="D5" s="3">
        <v>0.05</v>
      </c>
      <c r="E5" s="2">
        <v>0.1</v>
      </c>
      <c r="F5" s="15"/>
      <c r="G5" s="2"/>
    </row>
    <row r="6" spans="1:7" x14ac:dyDescent="0.2">
      <c r="A6" s="2" t="s">
        <v>21</v>
      </c>
      <c r="B6" s="2" t="s">
        <v>15</v>
      </c>
      <c r="C6" s="2">
        <v>7.0000000000000007E-2</v>
      </c>
      <c r="D6" s="2">
        <v>7.0000000000000007E-2</v>
      </c>
      <c r="E6" s="2">
        <v>7.0000000000000007E-2</v>
      </c>
      <c r="F6" s="14" t="s">
        <v>45</v>
      </c>
      <c r="G6" s="2" t="s">
        <v>18</v>
      </c>
    </row>
    <row r="7" spans="1:7" x14ac:dyDescent="0.2">
      <c r="A7" s="2" t="s">
        <v>22</v>
      </c>
      <c r="B7" s="2">
        <v>2022</v>
      </c>
      <c r="C7" s="17">
        <v>0.95</v>
      </c>
      <c r="D7" s="17">
        <v>0.95</v>
      </c>
      <c r="E7" s="17">
        <v>0.95</v>
      </c>
      <c r="F7" s="13" t="s">
        <v>39</v>
      </c>
      <c r="G7" s="2" t="s">
        <v>18</v>
      </c>
    </row>
    <row r="8" spans="1:7" x14ac:dyDescent="0.2">
      <c r="A8" s="2" t="s">
        <v>22</v>
      </c>
      <c r="B8" s="2">
        <v>2021</v>
      </c>
      <c r="C8" s="17">
        <v>0.84599999999999997</v>
      </c>
      <c r="D8" s="17">
        <v>0.84599999999999997</v>
      </c>
      <c r="E8" s="17">
        <v>0.84599999999999997</v>
      </c>
      <c r="F8" s="13" t="s">
        <v>39</v>
      </c>
      <c r="G8" s="2" t="s">
        <v>18</v>
      </c>
    </row>
    <row r="9" spans="1:7" x14ac:dyDescent="0.2">
      <c r="A9" s="2" t="s">
        <v>22</v>
      </c>
      <c r="B9" s="2">
        <v>2020</v>
      </c>
      <c r="C9" s="17">
        <v>0.876</v>
      </c>
      <c r="D9" s="17">
        <v>0.876</v>
      </c>
      <c r="E9" s="17">
        <v>0.876</v>
      </c>
      <c r="F9" s="13" t="s">
        <v>39</v>
      </c>
      <c r="G9" s="2" t="s">
        <v>18</v>
      </c>
    </row>
    <row r="10" spans="1:7" ht="17" x14ac:dyDescent="0.2">
      <c r="A10" s="19" t="s">
        <v>36</v>
      </c>
      <c r="B10" s="17" t="s">
        <v>15</v>
      </c>
      <c r="C10" s="17">
        <v>33.340000000000003</v>
      </c>
      <c r="D10" s="17">
        <v>33.340000000000003</v>
      </c>
      <c r="E10" s="17">
        <v>33.340000000000003</v>
      </c>
      <c r="F10" s="13" t="s">
        <v>57</v>
      </c>
      <c r="G10" s="2" t="s">
        <v>51</v>
      </c>
    </row>
    <row r="11" spans="1:7" x14ac:dyDescent="0.2">
      <c r="A11" s="2" t="s">
        <v>65</v>
      </c>
      <c r="B11" s="17" t="s">
        <v>15</v>
      </c>
      <c r="C11" s="17">
        <v>5.67</v>
      </c>
      <c r="D11" s="17">
        <v>5.67</v>
      </c>
      <c r="E11" s="17">
        <v>5.67</v>
      </c>
      <c r="F11" s="3" t="s">
        <v>15</v>
      </c>
      <c r="G11" s="2" t="s">
        <v>66</v>
      </c>
    </row>
    <row r="12" spans="1:7" ht="17" x14ac:dyDescent="0.2">
      <c r="A12" s="19" t="s">
        <v>35</v>
      </c>
      <c r="B12" s="3" t="s">
        <v>15</v>
      </c>
      <c r="C12" s="17">
        <v>5.17</v>
      </c>
      <c r="D12" s="17">
        <v>5.17</v>
      </c>
      <c r="E12" s="17">
        <v>5.17</v>
      </c>
      <c r="G12" s="2" t="s">
        <v>34</v>
      </c>
    </row>
    <row r="13" spans="1:7" x14ac:dyDescent="0.2">
      <c r="G13" s="2"/>
    </row>
    <row r="14" spans="1:7" x14ac:dyDescent="0.2">
      <c r="G14" s="2"/>
    </row>
    <row r="28" spans="8:8" x14ac:dyDescent="0.2">
      <c r="H28" s="7"/>
    </row>
    <row r="29" spans="8:8" x14ac:dyDescent="0.2">
      <c r="H29" s="7"/>
    </row>
    <row r="32" spans="8:8" x14ac:dyDescent="0.2">
      <c r="H32" s="18"/>
    </row>
  </sheetData>
  <hyperlinks>
    <hyperlink ref="F2" r:id="rId1" xr:uid="{244487C4-712B-DC4F-BCA1-259DA5BB8D0E}"/>
    <hyperlink ref="F3" r:id="rId2" xr:uid="{0210CE85-5663-F741-BF71-FBD0506D2FE1}"/>
    <hyperlink ref="F4" r:id="rId3" xr:uid="{BCC96BFC-9F2A-EF4A-8CC6-78E0D7AC9BDE}"/>
    <hyperlink ref="F6" r:id="rId4" xr:uid="{927BD61C-0050-6248-A8ED-6C94CCBB5059}"/>
    <hyperlink ref="F7" r:id="rId5" xr:uid="{2CE7D3A8-7C72-A24B-B884-9B70243D6D22}"/>
    <hyperlink ref="F8" r:id="rId6" xr:uid="{B4466AE9-743B-534B-8AE2-E999E1338626}"/>
    <hyperlink ref="F9" r:id="rId7" xr:uid="{958CA8F0-AA8A-A840-87F8-3F01B30AA9DB}"/>
    <hyperlink ref="F10" r:id="rId8" xr:uid="{FF78B0C1-EC2A-914E-91E2-B74ED69C6D5D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53CC-1571-0C45-AAD4-D1F7D56A163B}">
  <dimension ref="A1:K33"/>
  <sheetViews>
    <sheetView workbookViewId="0">
      <selection activeCell="E2" sqref="E2:E5"/>
    </sheetView>
  </sheetViews>
  <sheetFormatPr baseColWidth="10" defaultColWidth="10.83203125" defaultRowHeight="16" x14ac:dyDescent="0.2"/>
  <cols>
    <col min="1" max="1" width="23.1640625" style="2" bestFit="1" customWidth="1"/>
    <col min="2" max="2" width="17.5" style="2" customWidth="1"/>
    <col min="3" max="3" width="13.6640625" style="2" bestFit="1" customWidth="1"/>
    <col min="4" max="5" width="13.6640625" style="2" customWidth="1"/>
    <col min="6" max="6" width="14.5" style="2" customWidth="1"/>
    <col min="7" max="7" width="26" style="2" bestFit="1" customWidth="1"/>
    <col min="8" max="8" width="10.33203125" style="12" customWidth="1"/>
    <col min="9" max="9" width="27.83203125" style="2" customWidth="1"/>
    <col min="10" max="16384" width="10.8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</v>
      </c>
      <c r="G1" s="1" t="s">
        <v>4</v>
      </c>
      <c r="H1" s="10" t="s">
        <v>5</v>
      </c>
      <c r="I1" s="1" t="s">
        <v>44</v>
      </c>
    </row>
    <row r="2" spans="1:11" x14ac:dyDescent="0.2">
      <c r="A2" s="2" t="s">
        <v>7</v>
      </c>
      <c r="B2" s="2">
        <v>2020</v>
      </c>
      <c r="C2" s="5">
        <v>1762.4295834724421</v>
      </c>
      <c r="D2" s="5">
        <f>0.7*C2</f>
        <v>1233.7007084307095</v>
      </c>
      <c r="E2" s="5">
        <f>1.3*C2</f>
        <v>2291.158458514175</v>
      </c>
      <c r="F2" s="2" t="s">
        <v>8</v>
      </c>
      <c r="G2" s="2" t="s">
        <v>9</v>
      </c>
      <c r="H2" s="11" t="s">
        <v>10</v>
      </c>
      <c r="I2" s="14" t="s">
        <v>40</v>
      </c>
      <c r="J2" s="2" t="s">
        <v>18</v>
      </c>
      <c r="K2" s="2" t="s">
        <v>18</v>
      </c>
    </row>
    <row r="3" spans="1:11" x14ac:dyDescent="0.2">
      <c r="A3" s="2" t="s">
        <v>7</v>
      </c>
      <c r="B3" s="2">
        <v>2030</v>
      </c>
      <c r="C3" s="2">
        <v>912</v>
      </c>
      <c r="D3" s="5">
        <f>0.7*C3</f>
        <v>638.4</v>
      </c>
      <c r="E3" s="5">
        <f>1.3*C3</f>
        <v>1185.6000000000001</v>
      </c>
      <c r="F3" s="2" t="s">
        <v>8</v>
      </c>
      <c r="G3" s="2" t="s">
        <v>9</v>
      </c>
      <c r="H3" s="11" t="s">
        <v>10</v>
      </c>
      <c r="I3" s="14" t="s">
        <v>40</v>
      </c>
      <c r="J3" s="2" t="s">
        <v>18</v>
      </c>
    </row>
    <row r="4" spans="1:11" x14ac:dyDescent="0.2">
      <c r="A4" s="2" t="s">
        <v>7</v>
      </c>
      <c r="B4" s="2">
        <v>2040</v>
      </c>
      <c r="C4" s="2">
        <v>806</v>
      </c>
      <c r="D4" s="5">
        <f>0.7*C4</f>
        <v>564.19999999999993</v>
      </c>
      <c r="E4" s="5">
        <f>1.3*C4</f>
        <v>1047.8</v>
      </c>
      <c r="F4" s="2" t="s">
        <v>8</v>
      </c>
      <c r="G4" s="2" t="s">
        <v>9</v>
      </c>
      <c r="H4" s="11" t="s">
        <v>10</v>
      </c>
      <c r="I4" s="14" t="s">
        <v>40</v>
      </c>
      <c r="J4" s="2" t="s">
        <v>18</v>
      </c>
    </row>
    <row r="5" spans="1:11" x14ac:dyDescent="0.2">
      <c r="A5" s="2" t="s">
        <v>7</v>
      </c>
      <c r="B5" s="2">
        <v>2050</v>
      </c>
      <c r="C5" s="2">
        <v>700</v>
      </c>
      <c r="D5" s="5">
        <f>0.7*C5</f>
        <v>489.99999999999994</v>
      </c>
      <c r="E5" s="5">
        <f>1.3*C5</f>
        <v>910</v>
      </c>
      <c r="F5" s="2" t="s">
        <v>8</v>
      </c>
      <c r="G5" s="2" t="s">
        <v>9</v>
      </c>
      <c r="H5" s="11" t="s">
        <v>10</v>
      </c>
      <c r="I5" s="14" t="s">
        <v>40</v>
      </c>
      <c r="J5" s="2" t="s">
        <v>18</v>
      </c>
    </row>
    <row r="6" spans="1:11" x14ac:dyDescent="0.2">
      <c r="A6" s="2" t="s">
        <v>11</v>
      </c>
      <c r="B6" s="2">
        <v>2020</v>
      </c>
      <c r="C6" s="2">
        <v>30</v>
      </c>
      <c r="D6" s="2">
        <v>30</v>
      </c>
      <c r="E6" s="2">
        <v>30</v>
      </c>
      <c r="F6" s="2" t="s">
        <v>12</v>
      </c>
      <c r="G6" s="2" t="s">
        <v>13</v>
      </c>
      <c r="H6" s="11" t="s">
        <v>24</v>
      </c>
      <c r="I6" s="2" t="s">
        <v>18</v>
      </c>
      <c r="J6" s="2" t="s">
        <v>18</v>
      </c>
    </row>
    <row r="7" spans="1:11" x14ac:dyDescent="0.2">
      <c r="A7" s="2" t="s">
        <v>11</v>
      </c>
      <c r="B7" s="2">
        <v>2030</v>
      </c>
      <c r="C7" s="2">
        <v>35</v>
      </c>
      <c r="D7" s="2">
        <v>35</v>
      </c>
      <c r="E7" s="2">
        <v>35</v>
      </c>
      <c r="F7" s="2" t="s">
        <v>12</v>
      </c>
      <c r="G7" s="2" t="s">
        <v>13</v>
      </c>
      <c r="H7" s="11" t="s">
        <v>24</v>
      </c>
      <c r="I7" s="2" t="s">
        <v>18</v>
      </c>
      <c r="J7" s="2" t="s">
        <v>18</v>
      </c>
    </row>
    <row r="8" spans="1:11" x14ac:dyDescent="0.2">
      <c r="A8" s="2" t="s">
        <v>11</v>
      </c>
      <c r="B8" s="2">
        <v>2040</v>
      </c>
      <c r="C8" s="2">
        <v>35</v>
      </c>
      <c r="D8" s="2">
        <v>35</v>
      </c>
      <c r="E8" s="2">
        <v>35</v>
      </c>
      <c r="F8" s="2" t="s">
        <v>12</v>
      </c>
      <c r="G8" s="2" t="s">
        <v>13</v>
      </c>
      <c r="H8" s="11" t="s">
        <v>24</v>
      </c>
      <c r="I8" s="2" t="s">
        <v>18</v>
      </c>
      <c r="J8" s="2" t="s">
        <v>18</v>
      </c>
    </row>
    <row r="9" spans="1:11" x14ac:dyDescent="0.2">
      <c r="A9" s="2" t="s">
        <v>11</v>
      </c>
      <c r="B9" s="2">
        <v>2050</v>
      </c>
      <c r="C9" s="2">
        <v>35</v>
      </c>
      <c r="D9" s="2">
        <v>35</v>
      </c>
      <c r="E9" s="2">
        <v>35</v>
      </c>
      <c r="F9" s="2" t="s">
        <v>12</v>
      </c>
      <c r="G9" s="2" t="s">
        <v>13</v>
      </c>
      <c r="H9" s="11" t="s">
        <v>24</v>
      </c>
      <c r="I9" s="2" t="s">
        <v>18</v>
      </c>
      <c r="J9" s="2" t="s">
        <v>18</v>
      </c>
    </row>
    <row r="10" spans="1:11" x14ac:dyDescent="0.2">
      <c r="A10" s="2" t="s">
        <v>14</v>
      </c>
      <c r="B10" s="2">
        <v>2020</v>
      </c>
      <c r="C10" s="2">
        <v>5.0000000000000001E-3</v>
      </c>
      <c r="D10" s="2">
        <v>6.4000000000000003E-3</v>
      </c>
      <c r="E10" s="2">
        <v>3.5999999999999999E-3</v>
      </c>
      <c r="F10" s="2" t="s">
        <v>15</v>
      </c>
      <c r="G10" s="2" t="s">
        <v>13</v>
      </c>
      <c r="H10" s="11" t="s">
        <v>43</v>
      </c>
      <c r="I10" s="2" t="s">
        <v>18</v>
      </c>
      <c r="J10" s="2" t="s">
        <v>18</v>
      </c>
    </row>
    <row r="11" spans="1:11" x14ac:dyDescent="0.2">
      <c r="A11" s="2" t="s">
        <v>14</v>
      </c>
      <c r="B11" s="2">
        <v>2030</v>
      </c>
      <c r="C11" s="2">
        <v>5.0000000000000001E-3</v>
      </c>
      <c r="D11" s="2">
        <v>6.4000000000000003E-3</v>
      </c>
      <c r="E11" s="2">
        <v>3.5999999999999999E-3</v>
      </c>
      <c r="F11" s="2" t="s">
        <v>15</v>
      </c>
      <c r="G11" s="2" t="s">
        <v>13</v>
      </c>
      <c r="H11" s="11" t="s">
        <v>43</v>
      </c>
      <c r="I11" s="2" t="s">
        <v>18</v>
      </c>
      <c r="J11" s="2" t="s">
        <v>18</v>
      </c>
    </row>
    <row r="12" spans="1:11" x14ac:dyDescent="0.2">
      <c r="A12" s="2" t="s">
        <v>14</v>
      </c>
      <c r="B12" s="2">
        <v>2040</v>
      </c>
      <c r="C12" s="2">
        <v>5.0000000000000001E-3</v>
      </c>
      <c r="D12" s="2">
        <v>6.4000000000000003E-3</v>
      </c>
      <c r="E12" s="2">
        <v>3.5999999999999999E-3</v>
      </c>
      <c r="F12" s="2" t="s">
        <v>15</v>
      </c>
      <c r="G12" s="2" t="s">
        <v>13</v>
      </c>
      <c r="H12" s="11" t="s">
        <v>43</v>
      </c>
      <c r="I12" s="2" t="s">
        <v>18</v>
      </c>
      <c r="J12" s="2" t="s">
        <v>18</v>
      </c>
    </row>
    <row r="13" spans="1:11" x14ac:dyDescent="0.2">
      <c r="A13" s="2" t="s">
        <v>14</v>
      </c>
      <c r="B13" s="2">
        <v>2050</v>
      </c>
      <c r="C13" s="2">
        <v>5.0000000000000001E-3</v>
      </c>
      <c r="D13" s="2">
        <v>6.4000000000000003E-3</v>
      </c>
      <c r="E13" s="2">
        <v>3.5999999999999999E-3</v>
      </c>
      <c r="F13" s="2" t="s">
        <v>15</v>
      </c>
      <c r="G13" s="2" t="s">
        <v>13</v>
      </c>
      <c r="H13" s="11" t="s">
        <v>43</v>
      </c>
      <c r="I13" s="2" t="s">
        <v>18</v>
      </c>
      <c r="J13" s="2" t="s">
        <v>18</v>
      </c>
    </row>
    <row r="14" spans="1:11" x14ac:dyDescent="0.2">
      <c r="A14" s="2" t="s">
        <v>16</v>
      </c>
      <c r="B14" s="2">
        <v>2020</v>
      </c>
      <c r="C14" s="2">
        <v>19</v>
      </c>
      <c r="D14" s="2">
        <v>18</v>
      </c>
      <c r="E14" s="2">
        <v>20</v>
      </c>
      <c r="F14" s="2" t="s">
        <v>17</v>
      </c>
      <c r="G14" s="2" t="s">
        <v>9</v>
      </c>
      <c r="H14" s="11" t="s">
        <v>10</v>
      </c>
      <c r="I14" s="2" t="s">
        <v>18</v>
      </c>
      <c r="J14" s="2" t="s">
        <v>18</v>
      </c>
    </row>
    <row r="15" spans="1:11" x14ac:dyDescent="0.2">
      <c r="A15" s="2" t="s">
        <v>16</v>
      </c>
      <c r="B15" s="2">
        <v>2030</v>
      </c>
      <c r="C15" s="2">
        <v>12</v>
      </c>
      <c r="D15" s="2">
        <v>11</v>
      </c>
      <c r="E15" s="2">
        <v>13</v>
      </c>
      <c r="F15" s="2" t="s">
        <v>17</v>
      </c>
      <c r="G15" s="2" t="s">
        <v>9</v>
      </c>
      <c r="H15" s="11" t="s">
        <v>10</v>
      </c>
      <c r="I15" s="2" t="s">
        <v>18</v>
      </c>
      <c r="J15" s="2" t="s">
        <v>18</v>
      </c>
    </row>
    <row r="16" spans="1:11" x14ac:dyDescent="0.2">
      <c r="A16" s="2" t="s">
        <v>16</v>
      </c>
      <c r="B16" s="2">
        <v>2040</v>
      </c>
      <c r="C16" s="2">
        <v>11</v>
      </c>
      <c r="D16" s="2">
        <v>10</v>
      </c>
      <c r="E16" s="2">
        <v>12</v>
      </c>
      <c r="F16" s="2" t="s">
        <v>17</v>
      </c>
      <c r="G16" s="2" t="s">
        <v>9</v>
      </c>
      <c r="H16" s="11" t="s">
        <v>10</v>
      </c>
      <c r="I16" s="2" t="s">
        <v>18</v>
      </c>
      <c r="J16" s="2" t="s">
        <v>18</v>
      </c>
    </row>
    <row r="17" spans="1:10" x14ac:dyDescent="0.2">
      <c r="A17" s="2" t="s">
        <v>16</v>
      </c>
      <c r="B17" s="2">
        <v>2050</v>
      </c>
      <c r="C17" s="2">
        <v>10</v>
      </c>
      <c r="D17" s="2">
        <v>9</v>
      </c>
      <c r="E17" s="2">
        <v>11</v>
      </c>
      <c r="F17" s="2" t="s">
        <v>17</v>
      </c>
      <c r="G17" s="2" t="s">
        <v>9</v>
      </c>
      <c r="H17" s="11" t="s">
        <v>10</v>
      </c>
      <c r="I17" s="2" t="s">
        <v>18</v>
      </c>
      <c r="J17" s="2" t="s">
        <v>18</v>
      </c>
    </row>
    <row r="18" spans="1:10" s="1" customFormat="1" x14ac:dyDescent="0.2">
      <c r="A18" s="2" t="s">
        <v>68</v>
      </c>
      <c r="B18" s="2">
        <v>2020</v>
      </c>
      <c r="C18" s="2">
        <v>0.14000000000000001</v>
      </c>
      <c r="D18" s="2">
        <v>0.14000000000000001</v>
      </c>
      <c r="E18" s="2">
        <v>0.14000000000000001</v>
      </c>
      <c r="F18" s="2" t="s">
        <v>15</v>
      </c>
      <c r="G18" s="2" t="s">
        <v>71</v>
      </c>
      <c r="H18" s="11" t="s">
        <v>70</v>
      </c>
      <c r="I18" s="2" t="s">
        <v>18</v>
      </c>
    </row>
    <row r="19" spans="1:10" s="1" customFormat="1" x14ac:dyDescent="0.2">
      <c r="A19" s="2" t="s">
        <v>68</v>
      </c>
      <c r="B19" s="2">
        <v>2030</v>
      </c>
      <c r="C19" s="2">
        <v>0.14000000000000001</v>
      </c>
      <c r="D19" s="2">
        <v>0.14000000000000001</v>
      </c>
      <c r="E19" s="2">
        <v>0.14000000000000001</v>
      </c>
      <c r="F19" s="2" t="s">
        <v>15</v>
      </c>
      <c r="G19" s="2" t="s">
        <v>71</v>
      </c>
      <c r="H19" s="11" t="s">
        <v>70</v>
      </c>
      <c r="I19" s="2" t="s">
        <v>18</v>
      </c>
      <c r="J19" s="2"/>
    </row>
    <row r="20" spans="1:10" s="1" customFormat="1" x14ac:dyDescent="0.2">
      <c r="A20" s="2" t="s">
        <v>68</v>
      </c>
      <c r="B20" s="2">
        <v>2040</v>
      </c>
      <c r="C20" s="2">
        <v>0.14000000000000001</v>
      </c>
      <c r="D20" s="2">
        <v>0.14000000000000001</v>
      </c>
      <c r="E20" s="2">
        <v>0.14000000000000001</v>
      </c>
      <c r="F20" s="2" t="s">
        <v>15</v>
      </c>
      <c r="G20" s="2" t="s">
        <v>71</v>
      </c>
      <c r="H20" s="11" t="s">
        <v>70</v>
      </c>
      <c r="I20" s="2" t="s">
        <v>18</v>
      </c>
      <c r="J20" s="2"/>
    </row>
    <row r="21" spans="1:10" s="1" customFormat="1" x14ac:dyDescent="0.2">
      <c r="A21" s="2" t="s">
        <v>68</v>
      </c>
      <c r="B21" s="2">
        <v>2050</v>
      </c>
      <c r="C21" s="2">
        <v>0.14000000000000001</v>
      </c>
      <c r="D21" s="2">
        <v>0.14000000000000001</v>
      </c>
      <c r="E21" s="2">
        <v>0.14000000000000001</v>
      </c>
      <c r="F21" s="2" t="s">
        <v>15</v>
      </c>
      <c r="G21" s="2" t="s">
        <v>71</v>
      </c>
      <c r="H21" s="11" t="s">
        <v>70</v>
      </c>
      <c r="I21" s="2" t="s">
        <v>18</v>
      </c>
      <c r="J21" s="2"/>
    </row>
    <row r="22" spans="1:10" x14ac:dyDescent="0.2">
      <c r="A22" s="2" t="s">
        <v>69</v>
      </c>
      <c r="B22" s="2">
        <v>2020</v>
      </c>
      <c r="C22" s="9">
        <v>0.36</v>
      </c>
      <c r="D22" s="9">
        <v>0.36</v>
      </c>
      <c r="E22" s="9">
        <v>0.36</v>
      </c>
      <c r="F22" s="2" t="s">
        <v>15</v>
      </c>
      <c r="G22" s="2" t="s">
        <v>71</v>
      </c>
      <c r="H22" s="11" t="s">
        <v>70</v>
      </c>
      <c r="I22" s="2" t="s">
        <v>18</v>
      </c>
    </row>
    <row r="23" spans="1:10" x14ac:dyDescent="0.2">
      <c r="A23" s="2" t="s">
        <v>69</v>
      </c>
      <c r="B23" s="2">
        <v>2030</v>
      </c>
      <c r="C23" s="9">
        <v>0.36</v>
      </c>
      <c r="D23" s="9">
        <v>0.36</v>
      </c>
      <c r="E23" s="9">
        <v>0.36</v>
      </c>
      <c r="F23" s="2" t="s">
        <v>15</v>
      </c>
      <c r="G23" s="2" t="s">
        <v>71</v>
      </c>
      <c r="H23" s="11" t="s">
        <v>70</v>
      </c>
      <c r="I23" s="2" t="s">
        <v>18</v>
      </c>
      <c r="J23"/>
    </row>
    <row r="24" spans="1:10" x14ac:dyDescent="0.2">
      <c r="A24" s="2" t="s">
        <v>69</v>
      </c>
      <c r="B24" s="2">
        <v>2040</v>
      </c>
      <c r="C24" s="9">
        <v>0.36</v>
      </c>
      <c r="D24" s="9">
        <v>0.36</v>
      </c>
      <c r="E24" s="9">
        <v>0.36</v>
      </c>
      <c r="F24" s="2" t="s">
        <v>15</v>
      </c>
      <c r="G24" s="2" t="s">
        <v>71</v>
      </c>
      <c r="H24" s="11" t="s">
        <v>70</v>
      </c>
      <c r="I24" s="2" t="s">
        <v>18</v>
      </c>
      <c r="J24"/>
    </row>
    <row r="25" spans="1:10" x14ac:dyDescent="0.2">
      <c r="A25" s="2" t="s">
        <v>69</v>
      </c>
      <c r="B25" s="2">
        <v>2050</v>
      </c>
      <c r="C25" s="9">
        <v>0.36</v>
      </c>
      <c r="D25" s="9">
        <v>0.36</v>
      </c>
      <c r="E25" s="9">
        <v>0.36</v>
      </c>
      <c r="F25" s="2" t="s">
        <v>15</v>
      </c>
      <c r="G25" s="2" t="s">
        <v>71</v>
      </c>
      <c r="H25" s="11" t="s">
        <v>70</v>
      </c>
      <c r="I25" s="2" t="s">
        <v>18</v>
      </c>
      <c r="J25"/>
    </row>
    <row r="26" spans="1:10" x14ac:dyDescent="0.2">
      <c r="I26" s="2" t="s">
        <v>18</v>
      </c>
      <c r="J26"/>
    </row>
    <row r="27" spans="1:10" x14ac:dyDescent="0.2">
      <c r="I27" s="2" t="s">
        <v>18</v>
      </c>
      <c r="J27"/>
    </row>
    <row r="28" spans="1:10" x14ac:dyDescent="0.2">
      <c r="I28" s="2" t="s">
        <v>18</v>
      </c>
      <c r="J28"/>
    </row>
    <row r="29" spans="1:10" x14ac:dyDescent="0.2">
      <c r="J29"/>
    </row>
    <row r="30" spans="1:10" x14ac:dyDescent="0.2">
      <c r="J30"/>
    </row>
    <row r="31" spans="1:10" x14ac:dyDescent="0.2">
      <c r="J31"/>
    </row>
    <row r="32" spans="1:10" x14ac:dyDescent="0.2">
      <c r="J32"/>
    </row>
    <row r="33" spans="10:10" x14ac:dyDescent="0.2">
      <c r="J33"/>
    </row>
  </sheetData>
  <hyperlinks>
    <hyperlink ref="H2" r:id="rId1" xr:uid="{C1957A91-483C-F747-BAA1-FB354444C843}"/>
    <hyperlink ref="H3" r:id="rId2" xr:uid="{7E5AF889-9BA5-E140-A26A-CA8A2DBB4F99}"/>
    <hyperlink ref="H4" r:id="rId3" xr:uid="{7B7ACA29-6DE1-C84C-B98E-19A2B5E5E509}"/>
    <hyperlink ref="H5" r:id="rId4" xr:uid="{9265D92A-CEF4-DC4F-B48F-EBDF867A7616}"/>
    <hyperlink ref="H14:H17" r:id="rId5" display="https://atb.nrel.gov/electricity/2021/commercial_pv" xr:uid="{429526CE-47FD-C54C-84ED-320C065E85C8}"/>
    <hyperlink ref="H6" r:id="rId6" xr:uid="{6FC89763-DCC2-A445-BB41-0CF11E36ACD0}"/>
    <hyperlink ref="H7" r:id="rId7" xr:uid="{B6214D18-2E53-A544-83FE-846AF7AB3046}"/>
    <hyperlink ref="H8" r:id="rId8" xr:uid="{8BB8DCE3-0605-5349-B7C0-273997B5FF76}"/>
    <hyperlink ref="H9" r:id="rId9" xr:uid="{A57E1DDE-D473-104C-8437-65B6631DD3BD}"/>
    <hyperlink ref="H10" r:id="rId10" xr:uid="{63B0EEDD-8350-2E4C-98F3-2B04B97B2BAE}"/>
    <hyperlink ref="H11" r:id="rId11" xr:uid="{A39FEF12-38C2-5042-AB24-B7C61907B16F}"/>
    <hyperlink ref="H12" r:id="rId12" xr:uid="{30A35495-3872-F24E-B27F-5F16CA0D37F8}"/>
    <hyperlink ref="H13" r:id="rId13" xr:uid="{1A8574E3-B4A2-4B46-AA0A-197546E1D486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88CC-22D5-B144-AD83-8660DC01C58F}">
  <dimension ref="A1:N36"/>
  <sheetViews>
    <sheetView workbookViewId="0">
      <selection activeCell="H2" sqref="H2"/>
    </sheetView>
  </sheetViews>
  <sheetFormatPr baseColWidth="10" defaultRowHeight="16" x14ac:dyDescent="0.2"/>
  <cols>
    <col min="1" max="1" width="25.83203125" style="2" customWidth="1"/>
    <col min="2" max="5" width="10.83203125" style="2"/>
    <col min="6" max="6" width="20.33203125" style="2" customWidth="1"/>
    <col min="7" max="7" width="9.5" style="15" customWidth="1"/>
    <col min="8" max="8" width="10.83203125" style="12"/>
    <col min="10" max="10" width="10.83203125" style="3"/>
    <col min="11" max="11" width="22" style="3" bestFit="1" customWidth="1"/>
    <col min="12" max="12" width="10.83203125" style="3"/>
  </cols>
  <sheetData>
    <row r="1" spans="1:11" x14ac:dyDescent="0.2">
      <c r="A1" s="1" t="s">
        <v>0</v>
      </c>
      <c r="B1" s="1" t="s">
        <v>1</v>
      </c>
      <c r="C1" s="6" t="s">
        <v>2</v>
      </c>
      <c r="D1" s="6" t="s">
        <v>37</v>
      </c>
      <c r="E1" s="6" t="s">
        <v>38</v>
      </c>
      <c r="F1" s="1" t="s">
        <v>3</v>
      </c>
      <c r="G1" s="20" t="s">
        <v>5</v>
      </c>
      <c r="H1" s="1" t="s">
        <v>73</v>
      </c>
    </row>
    <row r="2" spans="1:11" x14ac:dyDescent="0.2">
      <c r="A2" s="2" t="s">
        <v>56</v>
      </c>
      <c r="B2" s="2">
        <v>2020</v>
      </c>
      <c r="C2" s="17">
        <v>5.6749999999999998</v>
      </c>
      <c r="D2" s="17">
        <v>5.6749999999999998</v>
      </c>
      <c r="E2" s="17">
        <v>5.6749999999999998</v>
      </c>
      <c r="F2" s="2" t="s">
        <v>34</v>
      </c>
      <c r="G2" s="21" t="s">
        <v>57</v>
      </c>
      <c r="H2" s="12" t="s">
        <v>18</v>
      </c>
    </row>
    <row r="3" spans="1:11" x14ac:dyDescent="0.2">
      <c r="A3" s="2" t="s">
        <v>56</v>
      </c>
      <c r="B3" s="2">
        <v>2030</v>
      </c>
      <c r="C3" s="17">
        <v>5.6749999999999998</v>
      </c>
      <c r="D3" s="17">
        <v>5.6749999999999998</v>
      </c>
      <c r="E3" s="17">
        <v>5.6749999999999998</v>
      </c>
      <c r="F3" s="2" t="s">
        <v>34</v>
      </c>
      <c r="G3" s="15" t="s">
        <v>57</v>
      </c>
      <c r="H3" s="12" t="s">
        <v>18</v>
      </c>
      <c r="K3" s="2"/>
    </row>
    <row r="4" spans="1:11" x14ac:dyDescent="0.2">
      <c r="A4" s="2" t="s">
        <v>56</v>
      </c>
      <c r="B4" s="2">
        <v>2050</v>
      </c>
      <c r="C4" s="17">
        <v>5.6749999999999998</v>
      </c>
      <c r="D4" s="17">
        <v>5.6749999999999998</v>
      </c>
      <c r="E4" s="17">
        <v>5.6749999999999998</v>
      </c>
      <c r="F4" s="2" t="s">
        <v>34</v>
      </c>
      <c r="G4" s="15" t="s">
        <v>57</v>
      </c>
      <c r="H4" s="12" t="s">
        <v>18</v>
      </c>
      <c r="K4" s="2"/>
    </row>
    <row r="5" spans="1:11" x14ac:dyDescent="0.2">
      <c r="A5" s="2" t="s">
        <v>46</v>
      </c>
      <c r="B5" s="2">
        <v>2020</v>
      </c>
      <c r="C5" s="17">
        <v>0.5</v>
      </c>
      <c r="D5" s="17">
        <v>0.6</v>
      </c>
      <c r="E5" s="17">
        <v>0.4</v>
      </c>
      <c r="F5" s="2" t="s">
        <v>15</v>
      </c>
      <c r="G5" s="21" t="s">
        <v>58</v>
      </c>
      <c r="H5" s="12" t="s">
        <v>18</v>
      </c>
      <c r="K5" s="2"/>
    </row>
    <row r="6" spans="1:11" x14ac:dyDescent="0.2">
      <c r="A6" s="2" t="s">
        <v>46</v>
      </c>
      <c r="B6" s="2">
        <v>2030</v>
      </c>
      <c r="C6" s="17">
        <v>0.6</v>
      </c>
      <c r="D6" s="17">
        <v>0.7</v>
      </c>
      <c r="E6" s="17">
        <v>0.5</v>
      </c>
      <c r="F6" s="2" t="s">
        <v>15</v>
      </c>
      <c r="G6" s="21" t="s">
        <v>58</v>
      </c>
      <c r="H6" s="12" t="s">
        <v>18</v>
      </c>
      <c r="K6" s="2"/>
    </row>
    <row r="7" spans="1:11" x14ac:dyDescent="0.2">
      <c r="A7" s="2" t="s">
        <v>46</v>
      </c>
      <c r="B7" s="2">
        <v>2050</v>
      </c>
      <c r="C7" s="17">
        <v>0.9</v>
      </c>
      <c r="D7" s="17">
        <v>0.95</v>
      </c>
      <c r="E7" s="17">
        <v>0.85</v>
      </c>
      <c r="F7" s="2" t="s">
        <v>15</v>
      </c>
      <c r="G7" s="21" t="s">
        <v>59</v>
      </c>
      <c r="H7" s="12" t="s">
        <v>18</v>
      </c>
      <c r="K7" s="2"/>
    </row>
    <row r="8" spans="1:11" x14ac:dyDescent="0.2">
      <c r="A8" s="2" t="s">
        <v>67</v>
      </c>
      <c r="B8" s="2">
        <v>2020</v>
      </c>
      <c r="C8" s="17">
        <v>1.17</v>
      </c>
      <c r="D8" s="17">
        <v>1.17</v>
      </c>
      <c r="E8" s="17">
        <v>1.17</v>
      </c>
      <c r="F8" s="2" t="s">
        <v>30</v>
      </c>
      <c r="G8" s="21" t="s">
        <v>57</v>
      </c>
      <c r="H8" s="12" t="s">
        <v>18</v>
      </c>
      <c r="K8" s="2"/>
    </row>
    <row r="9" spans="1:11" x14ac:dyDescent="0.2">
      <c r="A9" s="2" t="s">
        <v>67</v>
      </c>
      <c r="B9" s="2">
        <v>2030</v>
      </c>
      <c r="C9" s="17">
        <v>1.17</v>
      </c>
      <c r="D9" s="17">
        <v>1.17</v>
      </c>
      <c r="E9" s="17">
        <v>1.17</v>
      </c>
      <c r="F9" s="2" t="s">
        <v>30</v>
      </c>
      <c r="G9" s="21" t="s">
        <v>57</v>
      </c>
      <c r="H9" s="12" t="s">
        <v>18</v>
      </c>
      <c r="K9" s="2"/>
    </row>
    <row r="10" spans="1:11" x14ac:dyDescent="0.2">
      <c r="A10" s="2" t="s">
        <v>67</v>
      </c>
      <c r="B10" s="2">
        <v>2050</v>
      </c>
      <c r="C10" s="17">
        <v>1.17</v>
      </c>
      <c r="D10" s="17">
        <v>1.17</v>
      </c>
      <c r="E10" s="17">
        <v>1.17</v>
      </c>
      <c r="F10" s="2" t="s">
        <v>30</v>
      </c>
      <c r="G10" s="21" t="s">
        <v>57</v>
      </c>
      <c r="H10" s="12" t="s">
        <v>18</v>
      </c>
      <c r="K10" s="22"/>
    </row>
    <row r="11" spans="1:11" x14ac:dyDescent="0.2">
      <c r="A11" s="2" t="s">
        <v>31</v>
      </c>
      <c r="B11" s="2">
        <v>2020</v>
      </c>
      <c r="C11" s="17">
        <v>0.7</v>
      </c>
      <c r="D11" s="17">
        <v>0.7</v>
      </c>
      <c r="E11" s="17">
        <v>0.7</v>
      </c>
      <c r="F11" s="2" t="s">
        <v>30</v>
      </c>
      <c r="G11" s="21" t="s">
        <v>57</v>
      </c>
      <c r="H11" s="12" t="s">
        <v>18</v>
      </c>
      <c r="K11" s="22"/>
    </row>
    <row r="12" spans="1:11" x14ac:dyDescent="0.2">
      <c r="A12" s="2" t="s">
        <v>31</v>
      </c>
      <c r="B12" s="2">
        <v>2030</v>
      </c>
      <c r="C12" s="17">
        <v>0.7</v>
      </c>
      <c r="D12" s="17">
        <v>0.7</v>
      </c>
      <c r="E12" s="17">
        <v>0.7</v>
      </c>
      <c r="F12" s="2" t="s">
        <v>30</v>
      </c>
      <c r="G12" s="21" t="s">
        <v>57</v>
      </c>
      <c r="H12" s="12" t="s">
        <v>18</v>
      </c>
      <c r="K12" s="2"/>
    </row>
    <row r="13" spans="1:11" x14ac:dyDescent="0.2">
      <c r="A13" s="2" t="s">
        <v>31</v>
      </c>
      <c r="B13" s="2">
        <v>2050</v>
      </c>
      <c r="C13" s="17">
        <v>0.7</v>
      </c>
      <c r="D13" s="17">
        <v>0.7</v>
      </c>
      <c r="E13" s="17">
        <v>0.7</v>
      </c>
      <c r="F13" s="2" t="s">
        <v>30</v>
      </c>
      <c r="G13" s="21" t="s">
        <v>57</v>
      </c>
      <c r="H13" s="12" t="s">
        <v>18</v>
      </c>
      <c r="K13" s="2"/>
    </row>
    <row r="14" spans="1:11" x14ac:dyDescent="0.2">
      <c r="A14" s="2" t="s">
        <v>47</v>
      </c>
      <c r="B14" s="2">
        <v>2020</v>
      </c>
      <c r="C14" s="5">
        <v>1150</v>
      </c>
      <c r="D14" s="5">
        <v>935</v>
      </c>
      <c r="E14" s="5">
        <v>1266</v>
      </c>
      <c r="F14" s="2" t="s">
        <v>27</v>
      </c>
      <c r="G14" s="21" t="s">
        <v>25</v>
      </c>
      <c r="H14" s="2" t="s">
        <v>26</v>
      </c>
      <c r="K14" s="2"/>
    </row>
    <row r="15" spans="1:11" x14ac:dyDescent="0.2">
      <c r="A15" s="2" t="s">
        <v>47</v>
      </c>
      <c r="B15" s="2">
        <v>2030</v>
      </c>
      <c r="C15" s="5">
        <v>717</v>
      </c>
      <c r="D15" s="5">
        <v>500</v>
      </c>
      <c r="E15" s="5">
        <v>935</v>
      </c>
      <c r="F15" s="2" t="s">
        <v>27</v>
      </c>
      <c r="G15" s="21" t="s">
        <v>25</v>
      </c>
      <c r="H15" s="2" t="s">
        <v>26</v>
      </c>
    </row>
    <row r="16" spans="1:11" x14ac:dyDescent="0.2">
      <c r="A16" s="2" t="s">
        <v>47</v>
      </c>
      <c r="B16" s="2">
        <v>2050</v>
      </c>
      <c r="C16" s="5">
        <v>397</v>
      </c>
      <c r="D16" s="5">
        <v>149</v>
      </c>
      <c r="E16" s="5">
        <v>510</v>
      </c>
      <c r="F16" s="2" t="s">
        <v>27</v>
      </c>
      <c r="G16" s="21" t="s">
        <v>25</v>
      </c>
      <c r="H16" s="2" t="s">
        <v>26</v>
      </c>
    </row>
    <row r="17" spans="1:14" x14ac:dyDescent="0.2">
      <c r="A17" s="2" t="s">
        <v>48</v>
      </c>
      <c r="B17" s="2">
        <v>2020</v>
      </c>
      <c r="C17" s="17">
        <v>0.62</v>
      </c>
      <c r="D17" s="17">
        <v>0.67</v>
      </c>
      <c r="E17" s="17">
        <v>0.54</v>
      </c>
      <c r="F17" s="2" t="s">
        <v>15</v>
      </c>
      <c r="G17" s="21" t="s">
        <v>25</v>
      </c>
      <c r="H17" s="12" t="s">
        <v>18</v>
      </c>
    </row>
    <row r="18" spans="1:14" x14ac:dyDescent="0.2">
      <c r="A18" s="2" t="s">
        <v>48</v>
      </c>
      <c r="B18" s="2">
        <v>2030</v>
      </c>
      <c r="C18" s="17">
        <v>0.65500000000000003</v>
      </c>
      <c r="D18" s="17">
        <v>0.72</v>
      </c>
      <c r="E18" s="17">
        <v>0.53</v>
      </c>
      <c r="F18" s="2" t="s">
        <v>15</v>
      </c>
      <c r="G18" s="21" t="s">
        <v>25</v>
      </c>
      <c r="H18" s="12" t="s">
        <v>18</v>
      </c>
    </row>
    <row r="19" spans="1:14" x14ac:dyDescent="0.2">
      <c r="A19" s="2" t="s">
        <v>48</v>
      </c>
      <c r="B19" s="2">
        <v>2050</v>
      </c>
      <c r="C19" s="17">
        <v>0.71</v>
      </c>
      <c r="D19" s="17">
        <v>0.72</v>
      </c>
      <c r="E19" s="17">
        <v>0.7</v>
      </c>
      <c r="F19" s="2" t="s">
        <v>15</v>
      </c>
      <c r="G19" s="21" t="s">
        <v>25</v>
      </c>
      <c r="H19" s="12" t="s">
        <v>18</v>
      </c>
    </row>
    <row r="20" spans="1:14" x14ac:dyDescent="0.2">
      <c r="C20" s="17"/>
      <c r="D20" s="17"/>
      <c r="E20" s="17"/>
      <c r="G20" s="21"/>
    </row>
    <row r="21" spans="1:14" x14ac:dyDescent="0.2">
      <c r="A21" s="22" t="s">
        <v>49</v>
      </c>
      <c r="B21" s="2">
        <v>2020</v>
      </c>
      <c r="C21" s="2">
        <v>0.02</v>
      </c>
      <c r="D21" s="2">
        <v>0.02</v>
      </c>
      <c r="E21" s="2">
        <v>0.02</v>
      </c>
      <c r="F21" s="2" t="s">
        <v>15</v>
      </c>
      <c r="G21" s="21" t="s">
        <v>33</v>
      </c>
      <c r="H21" s="12" t="s">
        <v>18</v>
      </c>
      <c r="L21" s="5"/>
      <c r="M21" s="5"/>
      <c r="N21" s="5"/>
    </row>
    <row r="22" spans="1:14" x14ac:dyDescent="0.2">
      <c r="A22" s="22" t="s">
        <v>49</v>
      </c>
      <c r="B22" s="2">
        <v>2030</v>
      </c>
      <c r="C22" s="2">
        <v>0.02</v>
      </c>
      <c r="D22" s="2">
        <v>0.02</v>
      </c>
      <c r="E22" s="2">
        <v>0.02</v>
      </c>
      <c r="F22" s="2" t="s">
        <v>15</v>
      </c>
      <c r="G22" s="21" t="s">
        <v>33</v>
      </c>
      <c r="H22" s="12" t="s">
        <v>18</v>
      </c>
      <c r="L22" s="5"/>
      <c r="M22" s="5"/>
      <c r="N22" s="5"/>
    </row>
    <row r="23" spans="1:14" x14ac:dyDescent="0.2">
      <c r="A23" s="22" t="s">
        <v>49</v>
      </c>
      <c r="B23" s="2">
        <v>2050</v>
      </c>
      <c r="C23" s="2">
        <v>0.02</v>
      </c>
      <c r="D23" s="2">
        <v>0.02</v>
      </c>
      <c r="E23" s="2">
        <v>0.02</v>
      </c>
      <c r="F23" s="2" t="s">
        <v>15</v>
      </c>
      <c r="G23" s="21" t="s">
        <v>33</v>
      </c>
      <c r="H23" s="12" t="s">
        <v>18</v>
      </c>
      <c r="L23" s="5"/>
      <c r="M23" s="5"/>
      <c r="N23" s="5"/>
    </row>
    <row r="24" spans="1:14" x14ac:dyDescent="0.2">
      <c r="A24" s="22" t="s">
        <v>50</v>
      </c>
      <c r="B24" s="2">
        <v>2020</v>
      </c>
      <c r="C24" s="2">
        <v>7.0000000000000007E-2</v>
      </c>
      <c r="D24" s="2">
        <v>7.0000000000000007E-2</v>
      </c>
      <c r="E24" s="2">
        <v>7.0000000000000007E-2</v>
      </c>
      <c r="F24" s="2" t="s">
        <v>15</v>
      </c>
      <c r="G24" s="21" t="s">
        <v>32</v>
      </c>
      <c r="H24" s="12" t="s">
        <v>18</v>
      </c>
    </row>
    <row r="25" spans="1:14" x14ac:dyDescent="0.2">
      <c r="A25" s="22" t="s">
        <v>50</v>
      </c>
      <c r="B25" s="2">
        <v>2030</v>
      </c>
      <c r="C25" s="2">
        <v>7.0000000000000007E-2</v>
      </c>
      <c r="D25" s="2">
        <v>7.0000000000000007E-2</v>
      </c>
      <c r="E25" s="2">
        <v>7.0000000000000007E-2</v>
      </c>
      <c r="F25" s="2" t="s">
        <v>15</v>
      </c>
      <c r="G25" s="21" t="s">
        <v>32</v>
      </c>
      <c r="H25" s="12" t="s">
        <v>18</v>
      </c>
    </row>
    <row r="26" spans="1:14" x14ac:dyDescent="0.2">
      <c r="A26" s="22" t="s">
        <v>50</v>
      </c>
      <c r="B26" s="2">
        <v>2050</v>
      </c>
      <c r="C26" s="2">
        <v>7.0000000000000007E-2</v>
      </c>
      <c r="D26" s="2">
        <v>7.0000000000000007E-2</v>
      </c>
      <c r="E26" s="2">
        <v>7.0000000000000007E-2</v>
      </c>
      <c r="F26" s="2" t="s">
        <v>15</v>
      </c>
      <c r="G26" s="21" t="s">
        <v>32</v>
      </c>
      <c r="H26" s="12" t="s">
        <v>18</v>
      </c>
    </row>
    <row r="27" spans="1:14" x14ac:dyDescent="0.2">
      <c r="A27" s="2" t="s">
        <v>63</v>
      </c>
      <c r="B27" s="2">
        <v>2020</v>
      </c>
      <c r="C27" s="2">
        <v>0.29899999999999999</v>
      </c>
      <c r="D27" s="2">
        <v>0.29899999999999999</v>
      </c>
      <c r="E27" s="2">
        <v>0.29899999999999999</v>
      </c>
      <c r="F27" s="2" t="s">
        <v>34</v>
      </c>
      <c r="G27" s="21" t="s">
        <v>57</v>
      </c>
      <c r="H27" s="12" t="s">
        <v>18</v>
      </c>
    </row>
    <row r="28" spans="1:14" x14ac:dyDescent="0.2">
      <c r="A28" s="2" t="s">
        <v>63</v>
      </c>
      <c r="B28" s="2">
        <v>2030</v>
      </c>
      <c r="C28" s="2">
        <v>0.29899999999999999</v>
      </c>
      <c r="D28" s="2">
        <v>0.29899999999999999</v>
      </c>
      <c r="E28" s="2">
        <v>0.29899999999999999</v>
      </c>
      <c r="F28" s="2" t="s">
        <v>34</v>
      </c>
      <c r="G28" s="21" t="s">
        <v>57</v>
      </c>
      <c r="H28" s="12" t="s">
        <v>18</v>
      </c>
    </row>
    <row r="29" spans="1:14" x14ac:dyDescent="0.2">
      <c r="A29" s="2" t="s">
        <v>63</v>
      </c>
      <c r="B29" s="2">
        <v>2050</v>
      </c>
      <c r="C29" s="2">
        <v>0.29899999999999999</v>
      </c>
      <c r="D29" s="2">
        <v>0.29899999999999999</v>
      </c>
      <c r="E29" s="2">
        <v>0.29899999999999999</v>
      </c>
      <c r="F29" s="2" t="s">
        <v>34</v>
      </c>
      <c r="G29" s="21" t="s">
        <v>57</v>
      </c>
      <c r="H29" s="12" t="s">
        <v>18</v>
      </c>
    </row>
    <row r="31" spans="1:14" x14ac:dyDescent="0.2">
      <c r="A31" s="2" t="s">
        <v>60</v>
      </c>
      <c r="B31" s="2">
        <v>2020</v>
      </c>
      <c r="C31" s="9">
        <v>0.9</v>
      </c>
      <c r="D31" s="9">
        <v>0.9</v>
      </c>
      <c r="E31" s="9">
        <v>0.9</v>
      </c>
      <c r="F31" s="2" t="s">
        <v>15</v>
      </c>
    </row>
    <row r="32" spans="1:14" x14ac:dyDescent="0.2">
      <c r="A32" s="2" t="s">
        <v>60</v>
      </c>
      <c r="B32" s="2">
        <v>2030</v>
      </c>
      <c r="C32" s="9">
        <v>0.9</v>
      </c>
      <c r="D32" s="9">
        <v>0.9</v>
      </c>
      <c r="E32" s="9">
        <v>0.9</v>
      </c>
      <c r="F32" s="2" t="s">
        <v>15</v>
      </c>
    </row>
    <row r="33" spans="1:8" x14ac:dyDescent="0.2">
      <c r="A33" s="2" t="s">
        <v>60</v>
      </c>
      <c r="B33" s="2">
        <v>2050</v>
      </c>
      <c r="C33" s="9">
        <v>0.9</v>
      </c>
      <c r="D33" s="9">
        <v>0.9</v>
      </c>
      <c r="E33" s="9">
        <v>0.9</v>
      </c>
      <c r="F33" s="2" t="s">
        <v>15</v>
      </c>
    </row>
    <row r="34" spans="1:8" x14ac:dyDescent="0.2">
      <c r="A34" s="2" t="s">
        <v>11</v>
      </c>
      <c r="B34" s="2">
        <v>2020</v>
      </c>
      <c r="C34" s="5">
        <v>30</v>
      </c>
      <c r="D34" s="5">
        <v>30</v>
      </c>
      <c r="E34" s="5">
        <v>30</v>
      </c>
      <c r="F34" s="2" t="s">
        <v>28</v>
      </c>
      <c r="G34" s="21" t="s">
        <v>41</v>
      </c>
      <c r="H34" s="12" t="s">
        <v>18</v>
      </c>
    </row>
    <row r="35" spans="1:8" x14ac:dyDescent="0.2">
      <c r="A35" s="2" t="s">
        <v>11</v>
      </c>
      <c r="B35" s="2">
        <v>2030</v>
      </c>
      <c r="C35" s="5">
        <v>30</v>
      </c>
      <c r="D35" s="5">
        <v>30</v>
      </c>
      <c r="E35" s="5">
        <v>30</v>
      </c>
      <c r="F35" s="2" t="s">
        <v>28</v>
      </c>
      <c r="G35" s="21" t="s">
        <v>41</v>
      </c>
      <c r="H35" s="12" t="s">
        <v>18</v>
      </c>
    </row>
    <row r="36" spans="1:8" x14ac:dyDescent="0.2">
      <c r="A36" s="2" t="s">
        <v>11</v>
      </c>
      <c r="B36" s="2">
        <v>2050</v>
      </c>
      <c r="C36" s="5">
        <v>30</v>
      </c>
      <c r="D36" s="5">
        <v>30</v>
      </c>
      <c r="E36" s="5">
        <v>30</v>
      </c>
      <c r="F36" s="2" t="s">
        <v>28</v>
      </c>
      <c r="G36" s="21" t="s">
        <v>41</v>
      </c>
      <c r="H36" s="12" t="s">
        <v>18</v>
      </c>
    </row>
  </sheetData>
  <hyperlinks>
    <hyperlink ref="G14" r:id="rId1" location="section-visualisations" xr:uid="{53120D4B-4C6C-C647-BFC7-34ADCAFE49EA}"/>
    <hyperlink ref="G15:G16" r:id="rId2" location="section-visualisations" display="https://h2foroveralls.shinyapps.io/H2Dash/#section-visualisations" xr:uid="{6E4750CD-C5B8-3042-A23B-682C852A44F6}"/>
    <hyperlink ref="G17" r:id="rId3" location="section-visualisations" xr:uid="{F1693707-7139-7143-B584-3BC99F687EC6}"/>
    <hyperlink ref="G18:G19" r:id="rId4" location="section-visualisations" display="https://h2foroveralls.shinyapps.io/H2Dash/#section-visualisations" xr:uid="{A8D57BEE-2F0C-984F-A639-D8EED9C116BF}"/>
    <hyperlink ref="G24:G26" r:id="rId5" display="https://pubs.acs.org/doi/full/10.1021/acssuschemeng.0c01206" xr:uid="{1C4AC42F-9CBF-7E4B-B972-7AD46986C04A}"/>
    <hyperlink ref="G21:G23" r:id="rId6" display="https://pubs.rsc.org/en/content/articlelanding/2022/ee/d2ee01023b" xr:uid="{FBEB929F-617C-9149-ADDF-DDDB07181A57}"/>
    <hyperlink ref="G7" r:id="rId7" xr:uid="{E301EABE-72D8-F84B-8EA9-553962D6CE02}"/>
    <hyperlink ref="G2" r:id="rId8" xr:uid="{8C313ED2-D834-BD42-9D91-B97A045092B4}"/>
    <hyperlink ref="G27:G29" r:id="rId9" display="https://pubs.rsc.org/en/content/articlehtml/2023/ee/d2ee02683j" xr:uid="{5ACAB495-E477-E846-AC90-1959BA8CBD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0F32-F5CC-164B-A1FD-32BE37771730}">
  <dimension ref="A1:K36"/>
  <sheetViews>
    <sheetView tabSelected="1" workbookViewId="0">
      <selection activeCell="H2" sqref="H2"/>
    </sheetView>
  </sheetViews>
  <sheetFormatPr baseColWidth="10" defaultRowHeight="16" x14ac:dyDescent="0.2"/>
  <cols>
    <col min="1" max="1" width="23.83203125" bestFit="1" customWidth="1"/>
    <col min="6" max="6" width="12.83203125" bestFit="1" customWidth="1"/>
    <col min="7" max="7" width="10.83203125" style="16"/>
    <col min="8" max="8" width="19" style="3" customWidth="1"/>
  </cols>
  <sheetData>
    <row r="1" spans="1:11" x14ac:dyDescent="0.2">
      <c r="A1" s="1" t="s">
        <v>0</v>
      </c>
      <c r="B1" s="1" t="s">
        <v>1</v>
      </c>
      <c r="C1" s="6" t="s">
        <v>2</v>
      </c>
      <c r="D1" s="6" t="s">
        <v>37</v>
      </c>
      <c r="E1" s="6" t="s">
        <v>38</v>
      </c>
      <c r="F1" s="1" t="s">
        <v>3</v>
      </c>
      <c r="G1" s="20" t="s">
        <v>5</v>
      </c>
      <c r="H1" s="4" t="s">
        <v>73</v>
      </c>
    </row>
    <row r="2" spans="1:11" x14ac:dyDescent="0.2">
      <c r="A2" s="2" t="s">
        <v>47</v>
      </c>
      <c r="B2" s="2">
        <v>2020</v>
      </c>
      <c r="C2" s="5">
        <v>1150</v>
      </c>
      <c r="D2" s="5">
        <v>935</v>
      </c>
      <c r="E2" s="5">
        <v>1266</v>
      </c>
      <c r="F2" s="2" t="s">
        <v>27</v>
      </c>
      <c r="G2" s="21" t="s">
        <v>25</v>
      </c>
      <c r="H2" s="2" t="s">
        <v>26</v>
      </c>
    </row>
    <row r="3" spans="1:11" x14ac:dyDescent="0.2">
      <c r="A3" s="2" t="s">
        <v>47</v>
      </c>
      <c r="B3" s="2">
        <v>2030</v>
      </c>
      <c r="C3" s="5">
        <v>717</v>
      </c>
      <c r="D3" s="5">
        <v>500</v>
      </c>
      <c r="E3" s="5">
        <v>935</v>
      </c>
      <c r="F3" s="2" t="s">
        <v>27</v>
      </c>
      <c r="G3" s="21" t="s">
        <v>25</v>
      </c>
      <c r="H3" s="2" t="s">
        <v>26</v>
      </c>
    </row>
    <row r="4" spans="1:11" x14ac:dyDescent="0.2">
      <c r="A4" s="2" t="s">
        <v>47</v>
      </c>
      <c r="B4" s="2">
        <v>2050</v>
      </c>
      <c r="C4" s="5">
        <v>397</v>
      </c>
      <c r="D4" s="5">
        <v>149</v>
      </c>
      <c r="E4" s="5">
        <v>510</v>
      </c>
      <c r="F4" s="2" t="s">
        <v>27</v>
      </c>
      <c r="G4" s="21" t="s">
        <v>25</v>
      </c>
      <c r="H4" s="2" t="s">
        <v>26</v>
      </c>
    </row>
    <row r="5" spans="1:11" x14ac:dyDescent="0.2">
      <c r="A5" s="3" t="s">
        <v>48</v>
      </c>
      <c r="B5" s="3">
        <v>2020</v>
      </c>
      <c r="C5" s="7">
        <v>0.62</v>
      </c>
      <c r="D5" s="7">
        <v>0.67</v>
      </c>
      <c r="E5" s="7">
        <v>0.54</v>
      </c>
      <c r="F5" s="3" t="s">
        <v>15</v>
      </c>
      <c r="G5" s="23" t="s">
        <v>25</v>
      </c>
      <c r="H5" s="3" t="s">
        <v>18</v>
      </c>
    </row>
    <row r="6" spans="1:11" x14ac:dyDescent="0.2">
      <c r="A6" s="3" t="s">
        <v>48</v>
      </c>
      <c r="B6" s="3">
        <v>2030</v>
      </c>
      <c r="C6" s="7">
        <v>0.65500000000000003</v>
      </c>
      <c r="D6" s="7">
        <v>0.72</v>
      </c>
      <c r="E6" s="7">
        <v>0.53</v>
      </c>
      <c r="F6" s="3" t="s">
        <v>15</v>
      </c>
      <c r="G6" s="23" t="s">
        <v>25</v>
      </c>
      <c r="H6" s="3" t="s">
        <v>18</v>
      </c>
    </row>
    <row r="7" spans="1:11" x14ac:dyDescent="0.2">
      <c r="A7" s="3" t="s">
        <v>48</v>
      </c>
      <c r="B7" s="3">
        <v>2050</v>
      </c>
      <c r="C7" s="7">
        <v>0.71</v>
      </c>
      <c r="D7" s="7">
        <v>0.72</v>
      </c>
      <c r="E7" s="7">
        <v>0.7</v>
      </c>
      <c r="F7" s="3" t="s">
        <v>15</v>
      </c>
      <c r="G7" s="23" t="s">
        <v>25</v>
      </c>
      <c r="H7" s="3" t="s">
        <v>18</v>
      </c>
    </row>
    <row r="8" spans="1:11" x14ac:dyDescent="0.2">
      <c r="A8" s="3" t="s">
        <v>55</v>
      </c>
      <c r="B8" s="3">
        <v>2020</v>
      </c>
      <c r="C8" s="5">
        <v>32.200000000000003</v>
      </c>
      <c r="D8" s="5">
        <v>32.200000000000003</v>
      </c>
      <c r="E8" s="5">
        <v>32.200000000000003</v>
      </c>
      <c r="F8" s="3" t="s">
        <v>29</v>
      </c>
      <c r="G8" s="23" t="s">
        <v>54</v>
      </c>
      <c r="H8" s="27" t="s">
        <v>64</v>
      </c>
    </row>
    <row r="9" spans="1:11" x14ac:dyDescent="0.2">
      <c r="A9" s="3" t="s">
        <v>55</v>
      </c>
      <c r="B9" s="3">
        <v>2030</v>
      </c>
      <c r="C9" s="5">
        <v>32.200000000000003</v>
      </c>
      <c r="D9" s="5">
        <v>32.200000000000003</v>
      </c>
      <c r="E9" s="5">
        <v>32.200000000000003</v>
      </c>
      <c r="F9" s="3" t="s">
        <v>29</v>
      </c>
      <c r="G9" s="23" t="s">
        <v>54</v>
      </c>
      <c r="H9" s="28"/>
      <c r="K9" s="2"/>
    </row>
    <row r="10" spans="1:11" x14ac:dyDescent="0.2">
      <c r="A10" s="3" t="s">
        <v>55</v>
      </c>
      <c r="B10" s="3">
        <v>2050</v>
      </c>
      <c r="C10" s="5">
        <v>32.200000000000003</v>
      </c>
      <c r="D10" s="5">
        <v>32.200000000000003</v>
      </c>
      <c r="E10" s="5">
        <v>32.200000000000003</v>
      </c>
      <c r="F10" s="3" t="s">
        <v>29</v>
      </c>
      <c r="G10" s="23" t="s">
        <v>54</v>
      </c>
      <c r="H10" s="28"/>
      <c r="K10" s="3"/>
    </row>
    <row r="11" spans="1:11" x14ac:dyDescent="0.2">
      <c r="B11" s="3"/>
      <c r="H11" s="3" t="s">
        <v>18</v>
      </c>
      <c r="K11" s="3"/>
    </row>
    <row r="12" spans="1:11" x14ac:dyDescent="0.2">
      <c r="A12" s="3" t="s">
        <v>53</v>
      </c>
      <c r="B12" s="3">
        <v>2020</v>
      </c>
      <c r="C12" s="7">
        <f>10.5-5.17</f>
        <v>5.33</v>
      </c>
      <c r="D12" s="7">
        <f>10.5-5.17</f>
        <v>5.33</v>
      </c>
      <c r="E12" s="7">
        <f>10.5-5.17</f>
        <v>5.33</v>
      </c>
      <c r="F12" s="7" t="s">
        <v>23</v>
      </c>
      <c r="G12" s="23" t="s">
        <v>54</v>
      </c>
      <c r="H12" s="27" t="s">
        <v>72</v>
      </c>
      <c r="K12" s="3"/>
    </row>
    <row r="13" spans="1:11" x14ac:dyDescent="0.2">
      <c r="A13" s="3" t="s">
        <v>53</v>
      </c>
      <c r="B13" s="3">
        <v>2030</v>
      </c>
      <c r="C13" s="7">
        <f>AVERAGE(C12,C14)</f>
        <v>3.43</v>
      </c>
      <c r="D13" s="7">
        <f>AVERAGE(D12,D14)</f>
        <v>3.43</v>
      </c>
      <c r="E13" s="7">
        <f>AVERAGE(E12,E14)</f>
        <v>3.43</v>
      </c>
      <c r="F13" s="7" t="s">
        <v>23</v>
      </c>
      <c r="G13" s="23" t="s">
        <v>54</v>
      </c>
      <c r="H13" s="28"/>
      <c r="K13" s="3"/>
    </row>
    <row r="14" spans="1:11" x14ac:dyDescent="0.2">
      <c r="A14" s="3" t="s">
        <v>53</v>
      </c>
      <c r="B14" s="3">
        <v>2050</v>
      </c>
      <c r="C14" s="8">
        <f>6.7-5.17</f>
        <v>1.5300000000000002</v>
      </c>
      <c r="D14" s="8">
        <f>6.7-5.17</f>
        <v>1.5300000000000002</v>
      </c>
      <c r="E14" s="8">
        <f>6.7-5.17</f>
        <v>1.5300000000000002</v>
      </c>
      <c r="F14" s="3" t="s">
        <v>23</v>
      </c>
      <c r="G14" s="23" t="s">
        <v>54</v>
      </c>
      <c r="H14" s="28"/>
      <c r="K14" s="22"/>
    </row>
    <row r="15" spans="1:11" x14ac:dyDescent="0.2">
      <c r="K15" s="3"/>
    </row>
    <row r="16" spans="1:11" x14ac:dyDescent="0.2">
      <c r="A16" s="3" t="s">
        <v>52</v>
      </c>
      <c r="B16" s="3">
        <v>2020</v>
      </c>
      <c r="C16" s="7">
        <v>0.31</v>
      </c>
      <c r="D16" s="7">
        <v>0.19</v>
      </c>
      <c r="E16" s="7">
        <f>C16+C16-D16</f>
        <v>0.43</v>
      </c>
      <c r="F16" s="3" t="s">
        <v>29</v>
      </c>
      <c r="G16" s="23" t="s">
        <v>42</v>
      </c>
      <c r="H16" s="25" t="s">
        <v>61</v>
      </c>
      <c r="K16" s="3"/>
    </row>
    <row r="17" spans="1:8" x14ac:dyDescent="0.2">
      <c r="A17" s="3" t="s">
        <v>52</v>
      </c>
      <c r="B17" s="3">
        <v>2030</v>
      </c>
      <c r="C17" s="7">
        <v>0.31</v>
      </c>
      <c r="D17" s="7">
        <v>0.19</v>
      </c>
      <c r="E17" s="7">
        <f t="shared" ref="E17:E18" si="0">C17+C17-D17</f>
        <v>0.43</v>
      </c>
      <c r="F17" s="3" t="s">
        <v>29</v>
      </c>
      <c r="G17" s="23" t="s">
        <v>42</v>
      </c>
      <c r="H17" s="26"/>
    </row>
    <row r="18" spans="1:8" x14ac:dyDescent="0.2">
      <c r="A18" s="3" t="s">
        <v>52</v>
      </c>
      <c r="B18" s="3">
        <v>2050</v>
      </c>
      <c r="C18" s="7">
        <v>0.31</v>
      </c>
      <c r="D18" s="7">
        <v>0.19</v>
      </c>
      <c r="E18" s="7">
        <f t="shared" si="0"/>
        <v>0.43</v>
      </c>
      <c r="F18" s="3" t="s">
        <v>29</v>
      </c>
      <c r="G18" s="23" t="s">
        <v>42</v>
      </c>
      <c r="H18" s="26"/>
    </row>
    <row r="20" spans="1:8" x14ac:dyDescent="0.2">
      <c r="A20" s="22" t="s">
        <v>49</v>
      </c>
      <c r="B20" s="2">
        <v>2020</v>
      </c>
      <c r="C20" s="2">
        <v>0.02</v>
      </c>
      <c r="D20" s="2">
        <v>0.02</v>
      </c>
      <c r="E20" s="2">
        <v>0.02</v>
      </c>
      <c r="F20" s="2" t="s">
        <v>15</v>
      </c>
      <c r="G20" s="21" t="s">
        <v>33</v>
      </c>
      <c r="H20" s="3" t="s">
        <v>18</v>
      </c>
    </row>
    <row r="21" spans="1:8" x14ac:dyDescent="0.2">
      <c r="A21" s="22" t="s">
        <v>49</v>
      </c>
      <c r="B21" s="2">
        <v>2030</v>
      </c>
      <c r="C21" s="2">
        <v>0.02</v>
      </c>
      <c r="D21" s="2">
        <v>0.02</v>
      </c>
      <c r="E21" s="2">
        <v>0.02</v>
      </c>
      <c r="F21" s="2" t="s">
        <v>15</v>
      </c>
      <c r="G21" s="21" t="s">
        <v>33</v>
      </c>
      <c r="H21" s="3" t="s">
        <v>18</v>
      </c>
    </row>
    <row r="22" spans="1:8" x14ac:dyDescent="0.2">
      <c r="A22" s="22" t="s">
        <v>49</v>
      </c>
      <c r="B22" s="2">
        <v>2050</v>
      </c>
      <c r="C22" s="2">
        <v>0.02</v>
      </c>
      <c r="D22" s="2">
        <v>0.02</v>
      </c>
      <c r="E22" s="2">
        <v>0.02</v>
      </c>
      <c r="F22" s="2" t="s">
        <v>15</v>
      </c>
      <c r="G22" s="21" t="s">
        <v>33</v>
      </c>
      <c r="H22" s="3" t="s">
        <v>18</v>
      </c>
    </row>
    <row r="23" spans="1:8" x14ac:dyDescent="0.2">
      <c r="A23" s="24" t="s">
        <v>50</v>
      </c>
      <c r="B23" s="3">
        <v>2020</v>
      </c>
      <c r="C23" s="7">
        <f>224/580</f>
        <v>0.38620689655172413</v>
      </c>
      <c r="D23" s="7">
        <f t="shared" ref="D23:E25" si="1">224/580</f>
        <v>0.38620689655172413</v>
      </c>
      <c r="E23" s="7">
        <f t="shared" si="1"/>
        <v>0.38620689655172413</v>
      </c>
      <c r="F23" s="3" t="s">
        <v>15</v>
      </c>
      <c r="G23" s="23" t="s">
        <v>62</v>
      </c>
      <c r="H23" s="3" t="s">
        <v>18</v>
      </c>
    </row>
    <row r="24" spans="1:8" x14ac:dyDescent="0.2">
      <c r="A24" s="24" t="s">
        <v>50</v>
      </c>
      <c r="B24" s="3">
        <v>2030</v>
      </c>
      <c r="C24" s="7">
        <f t="shared" ref="C24:C25" si="2">224/580</f>
        <v>0.38620689655172413</v>
      </c>
      <c r="D24" s="7">
        <f t="shared" si="1"/>
        <v>0.38620689655172413</v>
      </c>
      <c r="E24" s="7">
        <f t="shared" si="1"/>
        <v>0.38620689655172413</v>
      </c>
      <c r="F24" s="3" t="s">
        <v>15</v>
      </c>
      <c r="G24" s="23" t="s">
        <v>62</v>
      </c>
      <c r="H24" s="3" t="s">
        <v>18</v>
      </c>
    </row>
    <row r="25" spans="1:8" x14ac:dyDescent="0.2">
      <c r="A25" s="24" t="s">
        <v>50</v>
      </c>
      <c r="B25" s="3">
        <v>2050</v>
      </c>
      <c r="C25" s="7">
        <f t="shared" si="2"/>
        <v>0.38620689655172413</v>
      </c>
      <c r="D25" s="7">
        <f t="shared" si="1"/>
        <v>0.38620689655172413</v>
      </c>
      <c r="E25" s="7">
        <f t="shared" si="1"/>
        <v>0.38620689655172413</v>
      </c>
      <c r="F25" s="3" t="s">
        <v>15</v>
      </c>
      <c r="G25" s="23" t="s">
        <v>62</v>
      </c>
      <c r="H25" s="3" t="s">
        <v>18</v>
      </c>
    </row>
    <row r="26" spans="1:8" x14ac:dyDescent="0.2">
      <c r="A26" s="24" t="s">
        <v>63</v>
      </c>
      <c r="B26" s="3">
        <v>2020</v>
      </c>
      <c r="C26" s="7">
        <v>0.29899999999999999</v>
      </c>
      <c r="D26" s="7">
        <v>0.29899999999999999</v>
      </c>
      <c r="E26" s="7">
        <v>0.29899999999999999</v>
      </c>
      <c r="F26" s="7" t="s">
        <v>23</v>
      </c>
      <c r="G26" s="23" t="s">
        <v>57</v>
      </c>
      <c r="H26" s="3" t="s">
        <v>18</v>
      </c>
    </row>
    <row r="27" spans="1:8" x14ac:dyDescent="0.2">
      <c r="A27" s="24" t="s">
        <v>63</v>
      </c>
      <c r="B27" s="3">
        <v>2030</v>
      </c>
      <c r="C27" s="7">
        <v>0.29899999999999999</v>
      </c>
      <c r="D27" s="7">
        <v>0.29899999999999999</v>
      </c>
      <c r="E27" s="7">
        <v>0.29899999999999999</v>
      </c>
      <c r="F27" s="7" t="s">
        <v>23</v>
      </c>
      <c r="G27" s="23" t="s">
        <v>57</v>
      </c>
      <c r="H27" s="3" t="s">
        <v>18</v>
      </c>
    </row>
    <row r="28" spans="1:8" x14ac:dyDescent="0.2">
      <c r="A28" s="24" t="s">
        <v>63</v>
      </c>
      <c r="B28" s="3">
        <v>2050</v>
      </c>
      <c r="C28" s="7">
        <v>0.29899999999999999</v>
      </c>
      <c r="D28" s="7">
        <v>0.29899999999999999</v>
      </c>
      <c r="E28" s="7">
        <v>0.29899999999999999</v>
      </c>
      <c r="F28" s="7" t="s">
        <v>23</v>
      </c>
      <c r="G28" s="23" t="s">
        <v>57</v>
      </c>
      <c r="H28" s="3" t="s">
        <v>18</v>
      </c>
    </row>
    <row r="29" spans="1:8" x14ac:dyDescent="0.2">
      <c r="H29" s="3" t="s">
        <v>18</v>
      </c>
    </row>
    <row r="30" spans="1:8" x14ac:dyDescent="0.2">
      <c r="A30" s="2" t="s">
        <v>60</v>
      </c>
      <c r="B30" s="2">
        <v>2020</v>
      </c>
      <c r="C30" s="9">
        <v>0.9</v>
      </c>
      <c r="D30" s="9">
        <v>0.9</v>
      </c>
      <c r="E30" s="9">
        <v>0.9</v>
      </c>
      <c r="F30" s="2" t="s">
        <v>15</v>
      </c>
      <c r="G30" s="15"/>
      <c r="H30" s="3" t="s">
        <v>18</v>
      </c>
    </row>
    <row r="31" spans="1:8" x14ac:dyDescent="0.2">
      <c r="A31" s="2" t="s">
        <v>60</v>
      </c>
      <c r="B31" s="2">
        <v>2030</v>
      </c>
      <c r="C31" s="9">
        <v>0.9</v>
      </c>
      <c r="D31" s="9">
        <v>0.9</v>
      </c>
      <c r="E31" s="9">
        <v>0.9</v>
      </c>
      <c r="F31" s="2" t="s">
        <v>15</v>
      </c>
      <c r="G31" s="15"/>
      <c r="H31" s="3" t="s">
        <v>18</v>
      </c>
    </row>
    <row r="32" spans="1:8" x14ac:dyDescent="0.2">
      <c r="A32" s="2" t="s">
        <v>60</v>
      </c>
      <c r="B32" s="2">
        <v>2050</v>
      </c>
      <c r="C32" s="9">
        <v>0.9</v>
      </c>
      <c r="D32" s="9">
        <v>0.9</v>
      </c>
      <c r="E32" s="9">
        <v>0.9</v>
      </c>
      <c r="F32" s="2" t="s">
        <v>15</v>
      </c>
      <c r="G32" s="15"/>
      <c r="H32" s="3" t="s">
        <v>18</v>
      </c>
    </row>
    <row r="33" spans="1:8" x14ac:dyDescent="0.2">
      <c r="A33" s="3" t="s">
        <v>11</v>
      </c>
      <c r="B33" s="3">
        <v>2020</v>
      </c>
      <c r="C33" s="5">
        <v>30</v>
      </c>
      <c r="D33" s="5">
        <v>30</v>
      </c>
      <c r="E33" s="5">
        <v>30</v>
      </c>
      <c r="F33" s="3" t="s">
        <v>28</v>
      </c>
      <c r="G33" s="23" t="s">
        <v>41</v>
      </c>
      <c r="H33" s="3" t="s">
        <v>18</v>
      </c>
    </row>
    <row r="34" spans="1:8" x14ac:dyDescent="0.2">
      <c r="A34" s="3" t="s">
        <v>11</v>
      </c>
      <c r="B34" s="3">
        <v>2030</v>
      </c>
      <c r="C34" s="5">
        <v>30</v>
      </c>
      <c r="D34" s="5">
        <v>30</v>
      </c>
      <c r="E34" s="5">
        <v>30</v>
      </c>
      <c r="F34" s="3" t="s">
        <v>28</v>
      </c>
      <c r="G34" s="23" t="s">
        <v>41</v>
      </c>
      <c r="H34" s="3" t="s">
        <v>18</v>
      </c>
    </row>
    <row r="35" spans="1:8" x14ac:dyDescent="0.2">
      <c r="A35" s="3" t="s">
        <v>11</v>
      </c>
      <c r="B35" s="3">
        <v>2050</v>
      </c>
      <c r="C35" s="5">
        <v>30</v>
      </c>
      <c r="D35" s="5">
        <v>30</v>
      </c>
      <c r="E35" s="5">
        <v>30</v>
      </c>
      <c r="F35" s="3" t="s">
        <v>28</v>
      </c>
      <c r="G35" s="23" t="s">
        <v>41</v>
      </c>
      <c r="H35" s="3" t="s">
        <v>18</v>
      </c>
    </row>
    <row r="36" spans="1:8" x14ac:dyDescent="0.2">
      <c r="H36" s="3" t="s">
        <v>18</v>
      </c>
    </row>
  </sheetData>
  <mergeCells count="3">
    <mergeCell ref="H16:H18"/>
    <mergeCell ref="H8:H10"/>
    <mergeCell ref="H12:H14"/>
  </mergeCells>
  <hyperlinks>
    <hyperlink ref="G5" r:id="rId1" location="section-visualisations" xr:uid="{B3C02638-1F28-904D-AFD1-7ED5E1462741}"/>
    <hyperlink ref="G6:G7" r:id="rId2" location="section-visualisations" display="https://h2foroveralls.shinyapps.io/H2Dash/#section-visualisations" xr:uid="{FAD82BF4-10AA-8B4F-BC59-0B0A8A5C1636}"/>
    <hyperlink ref="G33" r:id="rId3" xr:uid="{88B17055-0CAE-9E45-B6C1-CEF28E85F5D7}"/>
    <hyperlink ref="G34" r:id="rId4" xr:uid="{9F354AF5-3C7E-E04A-A693-F388BFDD7256}"/>
    <hyperlink ref="G35" r:id="rId5" xr:uid="{B62F03D3-0DEA-9841-8DCC-5A3AD2F1FA2D}"/>
    <hyperlink ref="G16" r:id="rId6" xr:uid="{D1514FBB-321A-664D-A54F-0F8EC23D6EB7}"/>
    <hyperlink ref="G17" r:id="rId7" xr:uid="{4AF707F7-97CB-4243-B81A-82E90AD67140}"/>
    <hyperlink ref="G18" r:id="rId8" xr:uid="{24AD8AD7-21BD-E344-BBB2-F18C2D11DF3E}"/>
    <hyperlink ref="G8" r:id="rId9" xr:uid="{67244F0B-9926-9A42-8B83-70171DACD3DE}"/>
    <hyperlink ref="G2" r:id="rId10" location="section-visualisations" xr:uid="{D09DD037-B59C-9942-82E2-0D039AD414D9}"/>
    <hyperlink ref="G3:G4" r:id="rId11" location="section-visualisations" display="https://h2foroveralls.shinyapps.io/H2Dash/#section-visualisations" xr:uid="{2D0E866C-1EB5-EA4F-9CF9-177A954F3367}"/>
    <hyperlink ref="G20:G22" r:id="rId12" display="https://pubs.rsc.org/en/content/articlelanding/2022/ee/d2ee01023b" xr:uid="{FD0F2D73-CD5C-944C-A622-C2A27D5DA1F6}"/>
    <hyperlink ref="G26" r:id="rId13" xr:uid="{11E960BB-47BA-F443-8FDF-D9CB75ABB306}"/>
    <hyperlink ref="G27" r:id="rId14" xr:uid="{9309FB4A-1A0E-6C4E-80C5-3E88E4F705C7}"/>
    <hyperlink ref="G28" r:id="rId15" xr:uid="{1464830D-0C5A-684E-8D6B-4375355A5E6D}"/>
    <hyperlink ref="G24" r:id="rId16" xr:uid="{D82D666C-7DD2-DA4E-9C1B-7C560E6ACE54}"/>
    <hyperlink ref="G12" r:id="rId17" xr:uid="{6486D627-C669-6540-BCF3-1243AA0162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PV</vt:lpstr>
      <vt:lpstr>ENR</vt:lpstr>
      <vt:lpstr>eHB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Davide Tonelli</dc:creator>
  <cp:keywords/>
  <dc:description/>
  <cp:lastModifiedBy>Davide Tonelli</cp:lastModifiedBy>
  <cp:revision/>
  <dcterms:created xsi:type="dcterms:W3CDTF">2022-06-03T13:18:03Z</dcterms:created>
  <dcterms:modified xsi:type="dcterms:W3CDTF">2024-01-11T15:30:57Z</dcterms:modified>
  <cp:category/>
  <cp:contentStatus/>
</cp:coreProperties>
</file>